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\\psf\Home\GitHub\StrathclydeMSc\MS924\"/>
    </mc:Choice>
  </mc:AlternateContent>
  <bookViews>
    <workbookView showHorizontalScroll="0" showVerticalScroll="0" xWindow="0" yWindow="-23" windowWidth="28800" windowHeight="16443" activeTab="1"/>
  </bookViews>
  <sheets>
    <sheet name="Start" sheetId="2" r:id="rId1"/>
    <sheet name="Product1" sheetId="1" r:id="rId2"/>
    <sheet name="Error Bars" sheetId="5" state="hidden" r:id="rId3"/>
    <sheet name="calcSimple" sheetId="3" r:id="rId4"/>
    <sheet name="calcAdaptive" sheetId="4" r:id="rId5"/>
  </sheets>
  <definedNames>
    <definedName name="alpha">calcSimple!$H$2</definedName>
    <definedName name="gamma">calcAdaptive!$L$2</definedName>
    <definedName name="solver_adj" localSheetId="4" hidden="1">calcAdaptive!$L$2</definedName>
    <definedName name="solver_adj" localSheetId="3" hidden="1">calcSimple!$H$2</definedName>
    <definedName name="solver_cvg" localSheetId="4" hidden="1">0.0001</definedName>
    <definedName name="solver_cvg" localSheetId="3" hidden="1">0.0001</definedName>
    <definedName name="solver_drv" localSheetId="4" hidden="1">2</definedName>
    <definedName name="solver_drv" localSheetId="3" hidden="1">1</definedName>
    <definedName name="solver_eng" localSheetId="4" hidden="1">1</definedName>
    <definedName name="solver_eng" localSheetId="3" hidden="1">1</definedName>
    <definedName name="solver_est" localSheetId="4" hidden="1">1</definedName>
    <definedName name="solver_est" localSheetId="3" hidden="1">1</definedName>
    <definedName name="solver_itr" localSheetId="4" hidden="1">2147483647</definedName>
    <definedName name="solver_itr" localSheetId="3" hidden="1">2147483647</definedName>
    <definedName name="solver_lhs1" localSheetId="4" hidden="1">calcAdaptive!$L$2</definedName>
    <definedName name="solver_lhs1" localSheetId="3" hidden="1">calcSimple!$H$2</definedName>
    <definedName name="solver_lhs10" localSheetId="4" hidden="1">calcAdaptive!$L$2</definedName>
    <definedName name="solver_lhs10" localSheetId="3" hidden="1">calcSimple!$H$2</definedName>
    <definedName name="solver_lhs100" localSheetId="4" hidden="1">calcAdaptive!$L$2</definedName>
    <definedName name="solver_lhs100" localSheetId="3" hidden="1">calcSimple!$H$2</definedName>
    <definedName name="solver_lhs101" localSheetId="4" hidden="1">calcAdaptive!$L$2</definedName>
    <definedName name="solver_lhs101" localSheetId="3" hidden="1">calcSimple!$H$2</definedName>
    <definedName name="solver_lhs102" localSheetId="4" hidden="1">calcAdaptive!$L$2</definedName>
    <definedName name="solver_lhs102" localSheetId="3" hidden="1">calcSimple!$H$2</definedName>
    <definedName name="solver_lhs103" localSheetId="4" hidden="1">calcAdaptive!$L$2</definedName>
    <definedName name="solver_lhs103" localSheetId="3" hidden="1">calcSimple!$H$2</definedName>
    <definedName name="solver_lhs104" localSheetId="4" hidden="1">calcAdaptive!$L$2</definedName>
    <definedName name="solver_lhs104" localSheetId="3" hidden="1">calcSimple!$H$2</definedName>
    <definedName name="solver_lhs105" localSheetId="4" hidden="1">calcAdaptive!$L$2</definedName>
    <definedName name="solver_lhs105" localSheetId="3" hidden="1">calcSimple!$H$2</definedName>
    <definedName name="solver_lhs106" localSheetId="4" hidden="1">calcAdaptive!$L$2</definedName>
    <definedName name="solver_lhs106" localSheetId="3" hidden="1">calcSimple!$H$2</definedName>
    <definedName name="solver_lhs107" localSheetId="4" hidden="1">calcAdaptive!$L$2</definedName>
    <definedName name="solver_lhs107" localSheetId="3" hidden="1">calcSimple!$H$2</definedName>
    <definedName name="solver_lhs108" localSheetId="4" hidden="1">calcAdaptive!$L$2</definedName>
    <definedName name="solver_lhs108" localSheetId="3" hidden="1">calcSimple!$H$2</definedName>
    <definedName name="solver_lhs109" localSheetId="4" hidden="1">calcAdaptive!$L$2</definedName>
    <definedName name="solver_lhs109" localSheetId="3" hidden="1">calcSimple!$H$2</definedName>
    <definedName name="solver_lhs11" localSheetId="4" hidden="1">calcAdaptive!$L$2</definedName>
    <definedName name="solver_lhs11" localSheetId="3" hidden="1">calcSimple!$H$2</definedName>
    <definedName name="solver_lhs110" localSheetId="4" hidden="1">calcAdaptive!$L$2</definedName>
    <definedName name="solver_lhs110" localSheetId="3" hidden="1">calcSimple!$H$2</definedName>
    <definedName name="solver_lhs111" localSheetId="4" hidden="1">calcAdaptive!$L$2</definedName>
    <definedName name="solver_lhs111" localSheetId="3" hidden="1">calcSimple!$H$2</definedName>
    <definedName name="solver_lhs112" localSheetId="4" hidden="1">calcAdaptive!$L$2</definedName>
    <definedName name="solver_lhs112" localSheetId="3" hidden="1">calcSimple!$H$2</definedName>
    <definedName name="solver_lhs113" localSheetId="4" hidden="1">calcAdaptive!$L$2</definedName>
    <definedName name="solver_lhs113" localSheetId="3" hidden="1">calcSimple!$H$2</definedName>
    <definedName name="solver_lhs114" localSheetId="4" hidden="1">calcAdaptive!$L$2</definedName>
    <definedName name="solver_lhs114" localSheetId="3" hidden="1">calcSimple!$H$2</definedName>
    <definedName name="solver_lhs115" localSheetId="4" hidden="1">calcAdaptive!$L$2</definedName>
    <definedName name="solver_lhs115" localSheetId="3" hidden="1">calcSimple!$H$2</definedName>
    <definedName name="solver_lhs116" localSheetId="4" hidden="1">calcAdaptive!$L$2</definedName>
    <definedName name="solver_lhs116" localSheetId="3" hidden="1">calcSimple!$H$2</definedName>
    <definedName name="solver_lhs117" localSheetId="4" hidden="1">calcAdaptive!$L$2</definedName>
    <definedName name="solver_lhs117" localSheetId="3" hidden="1">calcSimple!$H$2</definedName>
    <definedName name="solver_lhs118" localSheetId="4" hidden="1">calcAdaptive!$L$2</definedName>
    <definedName name="solver_lhs118" localSheetId="3" hidden="1">calcSimple!$H$2</definedName>
    <definedName name="solver_lhs119" localSheetId="4" hidden="1">calcAdaptive!$L$2</definedName>
    <definedName name="solver_lhs119" localSheetId="3" hidden="1">calcSimple!$H$2</definedName>
    <definedName name="solver_lhs12" localSheetId="4" hidden="1">calcAdaptive!$L$2</definedName>
    <definedName name="solver_lhs12" localSheetId="3" hidden="1">calcSimple!$H$2</definedName>
    <definedName name="solver_lhs120" localSheetId="4" hidden="1">calcAdaptive!$L$2</definedName>
    <definedName name="solver_lhs120" localSheetId="3" hidden="1">calcSimple!$H$2</definedName>
    <definedName name="solver_lhs121" localSheetId="4" hidden="1">calcAdaptive!$L$2</definedName>
    <definedName name="solver_lhs121" localSheetId="3" hidden="1">calcSimple!$H$2</definedName>
    <definedName name="solver_lhs122" localSheetId="4" hidden="1">calcAdaptive!$L$2</definedName>
    <definedName name="solver_lhs122" localSheetId="3" hidden="1">calcSimple!$H$2</definedName>
    <definedName name="solver_lhs123" localSheetId="4" hidden="1">calcAdaptive!$L$2</definedName>
    <definedName name="solver_lhs123" localSheetId="3" hidden="1">calcSimple!$H$2</definedName>
    <definedName name="solver_lhs124" localSheetId="4" hidden="1">calcAdaptive!$L$2</definedName>
    <definedName name="solver_lhs124" localSheetId="3" hidden="1">calcSimple!$H$2</definedName>
    <definedName name="solver_lhs125" localSheetId="4" hidden="1">calcAdaptive!$L$2</definedName>
    <definedName name="solver_lhs125" localSheetId="3" hidden="1">calcSimple!$H$2</definedName>
    <definedName name="solver_lhs126" localSheetId="4" hidden="1">calcAdaptive!$L$2</definedName>
    <definedName name="solver_lhs126" localSheetId="3" hidden="1">calcSimple!$H$2</definedName>
    <definedName name="solver_lhs127" localSheetId="4" hidden="1">calcAdaptive!$L$2</definedName>
    <definedName name="solver_lhs127" localSheetId="3" hidden="1">calcSimple!$H$2</definedName>
    <definedName name="solver_lhs128" localSheetId="4" hidden="1">calcAdaptive!$L$2</definedName>
    <definedName name="solver_lhs128" localSheetId="3" hidden="1">calcSimple!$H$2</definedName>
    <definedName name="solver_lhs129" localSheetId="4" hidden="1">calcAdaptive!$L$2</definedName>
    <definedName name="solver_lhs129" localSheetId="3" hidden="1">calcSimple!$H$2</definedName>
    <definedName name="solver_lhs13" localSheetId="4" hidden="1">calcAdaptive!$L$2</definedName>
    <definedName name="solver_lhs13" localSheetId="3" hidden="1">calcSimple!$H$2</definedName>
    <definedName name="solver_lhs130" localSheetId="4" hidden="1">calcAdaptive!$L$2</definedName>
    <definedName name="solver_lhs130" localSheetId="3" hidden="1">calcSimple!$H$2</definedName>
    <definedName name="solver_lhs131" localSheetId="4" hidden="1">calcAdaptive!$L$2</definedName>
    <definedName name="solver_lhs131" localSheetId="3" hidden="1">calcSimple!$H$2</definedName>
    <definedName name="solver_lhs132" localSheetId="4" hidden="1">calcAdaptive!$L$2</definedName>
    <definedName name="solver_lhs132" localSheetId="3" hidden="1">calcSimple!$H$2</definedName>
    <definedName name="solver_lhs133" localSheetId="4" hidden="1">calcAdaptive!$L$2</definedName>
    <definedName name="solver_lhs133" localSheetId="3" hidden="1">calcSimple!$H$2</definedName>
    <definedName name="solver_lhs134" localSheetId="4" hidden="1">calcAdaptive!$L$2</definedName>
    <definedName name="solver_lhs134" localSheetId="3" hidden="1">calcSimple!$H$2</definedName>
    <definedName name="solver_lhs135" localSheetId="4" hidden="1">calcAdaptive!$L$2</definedName>
    <definedName name="solver_lhs135" localSheetId="3" hidden="1">calcSimple!$H$2</definedName>
    <definedName name="solver_lhs136" localSheetId="4" hidden="1">calcAdaptive!$L$2</definedName>
    <definedName name="solver_lhs136" localSheetId="3" hidden="1">calcSimple!$H$2</definedName>
    <definedName name="solver_lhs137" localSheetId="4" hidden="1">calcAdaptive!$L$2</definedName>
    <definedName name="solver_lhs137" localSheetId="3" hidden="1">calcSimple!$H$2</definedName>
    <definedName name="solver_lhs138" localSheetId="4" hidden="1">calcAdaptive!$L$2</definedName>
    <definedName name="solver_lhs138" localSheetId="3" hidden="1">calcSimple!$H$2</definedName>
    <definedName name="solver_lhs139" localSheetId="4" hidden="1">calcAdaptive!$L$2</definedName>
    <definedName name="solver_lhs139" localSheetId="3" hidden="1">calcSimple!$H$2</definedName>
    <definedName name="solver_lhs14" localSheetId="4" hidden="1">calcAdaptive!$L$2</definedName>
    <definedName name="solver_lhs14" localSheetId="3" hidden="1">calcSimple!$H$2</definedName>
    <definedName name="solver_lhs140" localSheetId="4" hidden="1">calcAdaptive!$L$2</definedName>
    <definedName name="solver_lhs140" localSheetId="3" hidden="1">calcSimple!$H$2</definedName>
    <definedName name="solver_lhs141" localSheetId="4" hidden="1">calcAdaptive!$L$2</definedName>
    <definedName name="solver_lhs141" localSheetId="3" hidden="1">calcSimple!$H$2</definedName>
    <definedName name="solver_lhs142" localSheetId="4" hidden="1">calcAdaptive!$L$2</definedName>
    <definedName name="solver_lhs142" localSheetId="3" hidden="1">calcSimple!$H$2</definedName>
    <definedName name="solver_lhs143" localSheetId="4" hidden="1">calcAdaptive!$L$2</definedName>
    <definedName name="solver_lhs143" localSheetId="3" hidden="1">calcSimple!$H$2</definedName>
    <definedName name="solver_lhs144" localSheetId="4" hidden="1">calcAdaptive!$L$2</definedName>
    <definedName name="solver_lhs144" localSheetId="3" hidden="1">calcSimple!$H$2</definedName>
    <definedName name="solver_lhs145" localSheetId="4" hidden="1">calcAdaptive!$L$2</definedName>
    <definedName name="solver_lhs145" localSheetId="3" hidden="1">calcSimple!$H$2</definedName>
    <definedName name="solver_lhs146" localSheetId="4" hidden="1">calcAdaptive!$L$2</definedName>
    <definedName name="solver_lhs146" localSheetId="3" hidden="1">calcSimple!$H$2</definedName>
    <definedName name="solver_lhs147" localSheetId="4" hidden="1">calcAdaptive!$L$2</definedName>
    <definedName name="solver_lhs147" localSheetId="3" hidden="1">calcSimple!$H$2</definedName>
    <definedName name="solver_lhs148" localSheetId="4" hidden="1">calcAdaptive!$L$2</definedName>
    <definedName name="solver_lhs148" localSheetId="3" hidden="1">calcSimple!$H$2</definedName>
    <definedName name="solver_lhs149" localSheetId="4" hidden="1">calcAdaptive!$L$2</definedName>
    <definedName name="solver_lhs149" localSheetId="3" hidden="1">calcSimple!$H$2</definedName>
    <definedName name="solver_lhs15" localSheetId="4" hidden="1">calcAdaptive!$L$2</definedName>
    <definedName name="solver_lhs15" localSheetId="3" hidden="1">calcSimple!$H$2</definedName>
    <definedName name="solver_lhs150" localSheetId="4" hidden="1">calcAdaptive!$L$2</definedName>
    <definedName name="solver_lhs150" localSheetId="3" hidden="1">calcSimple!$H$2</definedName>
    <definedName name="solver_lhs151" localSheetId="4" hidden="1">calcAdaptive!$L$2</definedName>
    <definedName name="solver_lhs151" localSheetId="3" hidden="1">calcSimple!$H$2</definedName>
    <definedName name="solver_lhs152" localSheetId="4" hidden="1">calcAdaptive!$L$2</definedName>
    <definedName name="solver_lhs152" localSheetId="3" hidden="1">calcSimple!$H$2</definedName>
    <definedName name="solver_lhs153" localSheetId="4" hidden="1">calcAdaptive!$L$2</definedName>
    <definedName name="solver_lhs153" localSheetId="3" hidden="1">calcSimple!$H$2</definedName>
    <definedName name="solver_lhs154" localSheetId="4" hidden="1">calcAdaptive!$L$2</definedName>
    <definedName name="solver_lhs154" localSheetId="3" hidden="1">calcSimple!$H$2</definedName>
    <definedName name="solver_lhs155" localSheetId="4" hidden="1">calcAdaptive!$L$2</definedName>
    <definedName name="solver_lhs155" localSheetId="3" hidden="1">calcSimple!$H$2</definedName>
    <definedName name="solver_lhs156" localSheetId="4" hidden="1">calcAdaptive!$L$2</definedName>
    <definedName name="solver_lhs156" localSheetId="3" hidden="1">calcSimple!$H$2</definedName>
    <definedName name="solver_lhs157" localSheetId="4" hidden="1">calcAdaptive!$L$2</definedName>
    <definedName name="solver_lhs157" localSheetId="3" hidden="1">calcSimple!$H$2</definedName>
    <definedName name="solver_lhs158" localSheetId="4" hidden="1">calcAdaptive!$L$2</definedName>
    <definedName name="solver_lhs158" localSheetId="3" hidden="1">calcSimple!$H$2</definedName>
    <definedName name="solver_lhs159" localSheetId="4" hidden="1">calcAdaptive!$L$2</definedName>
    <definedName name="solver_lhs159" localSheetId="3" hidden="1">calcSimple!$H$2</definedName>
    <definedName name="solver_lhs16" localSheetId="4" hidden="1">calcAdaptive!$L$2</definedName>
    <definedName name="solver_lhs16" localSheetId="3" hidden="1">calcSimple!$H$2</definedName>
    <definedName name="solver_lhs160" localSheetId="4" hidden="1">calcAdaptive!$L$2</definedName>
    <definedName name="solver_lhs160" localSheetId="3" hidden="1">calcSimple!$H$2</definedName>
    <definedName name="solver_lhs161" localSheetId="4" hidden="1">calcAdaptive!$L$2</definedName>
    <definedName name="solver_lhs161" localSheetId="3" hidden="1">calcSimple!$H$2</definedName>
    <definedName name="solver_lhs162" localSheetId="4" hidden="1">calcAdaptive!$L$2</definedName>
    <definedName name="solver_lhs162" localSheetId="3" hidden="1">calcSimple!$H$2</definedName>
    <definedName name="solver_lhs163" localSheetId="4" hidden="1">calcAdaptive!$L$2</definedName>
    <definedName name="solver_lhs163" localSheetId="3" hidden="1">calcSimple!$H$2</definedName>
    <definedName name="solver_lhs164" localSheetId="4" hidden="1">calcAdaptive!$L$2</definedName>
    <definedName name="solver_lhs164" localSheetId="3" hidden="1">calcSimple!$H$2</definedName>
    <definedName name="solver_lhs165" localSheetId="4" hidden="1">calcAdaptive!$L$2</definedName>
    <definedName name="solver_lhs165" localSheetId="3" hidden="1">calcSimple!$H$2</definedName>
    <definedName name="solver_lhs166" localSheetId="4" hidden="1">calcAdaptive!$L$2</definedName>
    <definedName name="solver_lhs166" localSheetId="3" hidden="1">calcSimple!$H$2</definedName>
    <definedName name="solver_lhs167" localSheetId="4" hidden="1">calcAdaptive!$L$2</definedName>
    <definedName name="solver_lhs167" localSheetId="3" hidden="1">calcSimple!$H$2</definedName>
    <definedName name="solver_lhs168" localSheetId="4" hidden="1">calcAdaptive!$L$2</definedName>
    <definedName name="solver_lhs168" localSheetId="3" hidden="1">calcSimple!$H$2</definedName>
    <definedName name="solver_lhs169" localSheetId="4" hidden="1">calcAdaptive!$L$2</definedName>
    <definedName name="solver_lhs169" localSheetId="3" hidden="1">calcSimple!$H$2</definedName>
    <definedName name="solver_lhs17" localSheetId="4" hidden="1">calcAdaptive!$L$2</definedName>
    <definedName name="solver_lhs17" localSheetId="3" hidden="1">calcSimple!$H$2</definedName>
    <definedName name="solver_lhs170" localSheetId="4" hidden="1">calcAdaptive!$L$2</definedName>
    <definedName name="solver_lhs170" localSheetId="3" hidden="1">calcSimple!$H$2</definedName>
    <definedName name="solver_lhs171" localSheetId="4" hidden="1">calcAdaptive!$L$2</definedName>
    <definedName name="solver_lhs171" localSheetId="3" hidden="1">calcSimple!$H$2</definedName>
    <definedName name="solver_lhs172" localSheetId="4" hidden="1">calcAdaptive!$L$2</definedName>
    <definedName name="solver_lhs172" localSheetId="3" hidden="1">calcSimple!$H$2</definedName>
    <definedName name="solver_lhs173" localSheetId="4" hidden="1">calcAdaptive!$L$2</definedName>
    <definedName name="solver_lhs173" localSheetId="3" hidden="1">calcSimple!$H$2</definedName>
    <definedName name="solver_lhs174" localSheetId="4" hidden="1">calcAdaptive!$L$2</definedName>
    <definedName name="solver_lhs174" localSheetId="3" hidden="1">calcSimple!$H$2</definedName>
    <definedName name="solver_lhs175" localSheetId="4" hidden="1">calcAdaptive!$L$2</definedName>
    <definedName name="solver_lhs175" localSheetId="3" hidden="1">calcSimple!$H$2</definedName>
    <definedName name="solver_lhs176" localSheetId="4" hidden="1">calcAdaptive!$L$2</definedName>
    <definedName name="solver_lhs176" localSheetId="3" hidden="1">calcSimple!$H$2</definedName>
    <definedName name="solver_lhs177" localSheetId="4" hidden="1">calcAdaptive!$L$2</definedName>
    <definedName name="solver_lhs177" localSheetId="3" hidden="1">calcSimple!$H$2</definedName>
    <definedName name="solver_lhs178" localSheetId="4" hidden="1">calcAdaptive!$L$2</definedName>
    <definedName name="solver_lhs178" localSheetId="3" hidden="1">calcSimple!$H$2</definedName>
    <definedName name="solver_lhs179" localSheetId="4" hidden="1">calcAdaptive!$L$2</definedName>
    <definedName name="solver_lhs179" localSheetId="3" hidden="1">calcSimple!$H$2</definedName>
    <definedName name="solver_lhs18" localSheetId="4" hidden="1">calcAdaptive!$L$2</definedName>
    <definedName name="solver_lhs18" localSheetId="3" hidden="1">calcSimple!$H$2</definedName>
    <definedName name="solver_lhs180" localSheetId="4" hidden="1">calcAdaptive!$L$2</definedName>
    <definedName name="solver_lhs180" localSheetId="3" hidden="1">calcSimple!$H$2</definedName>
    <definedName name="solver_lhs181" localSheetId="4" hidden="1">calcAdaptive!$L$2</definedName>
    <definedName name="solver_lhs181" localSheetId="3" hidden="1">calcSimple!$H$2</definedName>
    <definedName name="solver_lhs182" localSheetId="4" hidden="1">calcAdaptive!$L$2</definedName>
    <definedName name="solver_lhs182" localSheetId="3" hidden="1">calcSimple!$H$2</definedName>
    <definedName name="solver_lhs183" localSheetId="4" hidden="1">calcAdaptive!$L$2</definedName>
    <definedName name="solver_lhs183" localSheetId="3" hidden="1">calcSimple!$H$2</definedName>
    <definedName name="solver_lhs184" localSheetId="4" hidden="1">calcAdaptive!$L$2</definedName>
    <definedName name="solver_lhs184" localSheetId="3" hidden="1">calcSimple!$H$2</definedName>
    <definedName name="solver_lhs185" localSheetId="4" hidden="1">calcAdaptive!$L$2</definedName>
    <definedName name="solver_lhs185" localSheetId="3" hidden="1">calcSimple!$H$2</definedName>
    <definedName name="solver_lhs186" localSheetId="4" hidden="1">calcAdaptive!$L$2</definedName>
    <definedName name="solver_lhs186" localSheetId="3" hidden="1">calcSimple!$H$2</definedName>
    <definedName name="solver_lhs187" localSheetId="4" hidden="1">calcAdaptive!$L$2</definedName>
    <definedName name="solver_lhs187" localSheetId="3" hidden="1">calcSimple!$H$2</definedName>
    <definedName name="solver_lhs188" localSheetId="4" hidden="1">calcAdaptive!$L$2</definedName>
    <definedName name="solver_lhs188" localSheetId="3" hidden="1">calcSimple!$H$2</definedName>
    <definedName name="solver_lhs189" localSheetId="4" hidden="1">calcAdaptive!$L$2</definedName>
    <definedName name="solver_lhs189" localSheetId="3" hidden="1">calcSimple!$H$2</definedName>
    <definedName name="solver_lhs19" localSheetId="4" hidden="1">calcAdaptive!$L$2</definedName>
    <definedName name="solver_lhs19" localSheetId="3" hidden="1">calcSimple!$H$2</definedName>
    <definedName name="solver_lhs190" localSheetId="4" hidden="1">calcAdaptive!$L$2</definedName>
    <definedName name="solver_lhs190" localSheetId="3" hidden="1">calcSimple!$H$2</definedName>
    <definedName name="solver_lhs191" localSheetId="4" hidden="1">calcAdaptive!$L$2</definedName>
    <definedName name="solver_lhs191" localSheetId="3" hidden="1">calcSimple!$H$2</definedName>
    <definedName name="solver_lhs192" localSheetId="4" hidden="1">calcAdaptive!$L$2</definedName>
    <definedName name="solver_lhs192" localSheetId="3" hidden="1">calcSimple!$H$2</definedName>
    <definedName name="solver_lhs193" localSheetId="4" hidden="1">calcAdaptive!$L$2</definedName>
    <definedName name="solver_lhs193" localSheetId="3" hidden="1">calcSimple!$H$2</definedName>
    <definedName name="solver_lhs194" localSheetId="4" hidden="1">calcAdaptive!$L$2</definedName>
    <definedName name="solver_lhs194" localSheetId="3" hidden="1">calcSimple!$H$2</definedName>
    <definedName name="solver_lhs195" localSheetId="4" hidden="1">calcAdaptive!$L$2</definedName>
    <definedName name="solver_lhs195" localSheetId="3" hidden="1">calcSimple!$H$2</definedName>
    <definedName name="solver_lhs196" localSheetId="4" hidden="1">calcAdaptive!$L$2</definedName>
    <definedName name="solver_lhs196" localSheetId="3" hidden="1">calcSimple!$H$2</definedName>
    <definedName name="solver_lhs197" localSheetId="4" hidden="1">calcAdaptive!$L$2</definedName>
    <definedName name="solver_lhs197" localSheetId="3" hidden="1">calcSimple!$H$2</definedName>
    <definedName name="solver_lhs198" localSheetId="4" hidden="1">calcAdaptive!$L$2</definedName>
    <definedName name="solver_lhs198" localSheetId="3" hidden="1">calcSimple!$H$2</definedName>
    <definedName name="solver_lhs199" localSheetId="4" hidden="1">calcAdaptive!$L$2</definedName>
    <definedName name="solver_lhs199" localSheetId="3" hidden="1">calcSimple!$H$2</definedName>
    <definedName name="solver_lhs2" localSheetId="4" hidden="1">calcAdaptive!$L$2</definedName>
    <definedName name="solver_lhs2" localSheetId="3" hidden="1">calcSimple!$H$2</definedName>
    <definedName name="solver_lhs20" localSheetId="4" hidden="1">calcAdaptive!$L$2</definedName>
    <definedName name="solver_lhs20" localSheetId="3" hidden="1">calcSimple!$H$2</definedName>
    <definedName name="solver_lhs200" localSheetId="4" hidden="1">calcAdaptive!$L$2</definedName>
    <definedName name="solver_lhs200" localSheetId="3" hidden="1">calcSimple!$H$2</definedName>
    <definedName name="solver_lhs201" localSheetId="4" hidden="1">calcAdaptive!$L$2</definedName>
    <definedName name="solver_lhs201" localSheetId="3" hidden="1">calcSimple!$H$2</definedName>
    <definedName name="solver_lhs202" localSheetId="4" hidden="1">calcAdaptive!$L$2</definedName>
    <definedName name="solver_lhs202" localSheetId="3" hidden="1">calcSimple!$H$2</definedName>
    <definedName name="solver_lhs203" localSheetId="4" hidden="1">calcAdaptive!$L$2</definedName>
    <definedName name="solver_lhs203" localSheetId="3" hidden="1">calcSimple!$H$2</definedName>
    <definedName name="solver_lhs204" localSheetId="4" hidden="1">calcAdaptive!$L$2</definedName>
    <definedName name="solver_lhs204" localSheetId="3" hidden="1">calcSimple!$H$2</definedName>
    <definedName name="solver_lhs205" localSheetId="4" hidden="1">calcAdaptive!$L$2</definedName>
    <definedName name="solver_lhs205" localSheetId="3" hidden="1">calcSimple!$H$2</definedName>
    <definedName name="solver_lhs206" localSheetId="4" hidden="1">calcAdaptive!$L$2</definedName>
    <definedName name="solver_lhs206" localSheetId="3" hidden="1">calcSimple!$H$2</definedName>
    <definedName name="solver_lhs207" localSheetId="4" hidden="1">calcAdaptive!$L$2</definedName>
    <definedName name="solver_lhs207" localSheetId="3" hidden="1">calcSimple!$H$2</definedName>
    <definedName name="solver_lhs208" localSheetId="4" hidden="1">calcAdaptive!$D$2</definedName>
    <definedName name="solver_lhs208" localSheetId="3" hidden="1">calcSimple!$H$2</definedName>
    <definedName name="solver_lhs209" localSheetId="4" hidden="1">calcAdaptive!$L$2</definedName>
    <definedName name="solver_lhs209" localSheetId="3" hidden="1">calcSimple!$H$2</definedName>
    <definedName name="solver_lhs21" localSheetId="4" hidden="1">calcAdaptive!$L$2</definedName>
    <definedName name="solver_lhs21" localSheetId="3" hidden="1">calcSimple!$H$2</definedName>
    <definedName name="solver_lhs210" localSheetId="4" hidden="1">calcAdaptive!$L$2</definedName>
    <definedName name="solver_lhs210" localSheetId="3" hidden="1">calcSimple!$H$2</definedName>
    <definedName name="solver_lhs211" localSheetId="4" hidden="1">calcAdaptive!$L$2</definedName>
    <definedName name="solver_lhs211" localSheetId="3" hidden="1">calcSimple!$H$2</definedName>
    <definedName name="solver_lhs212" localSheetId="4" hidden="1">calcAdaptive!$L$2</definedName>
    <definedName name="solver_lhs212" localSheetId="3" hidden="1">calcSimple!$H$2</definedName>
    <definedName name="solver_lhs213" localSheetId="4" hidden="1">calcAdaptive!$L$2</definedName>
    <definedName name="solver_lhs213" localSheetId="3" hidden="1">calcSimple!$H$2</definedName>
    <definedName name="solver_lhs214" localSheetId="4" hidden="1">calcAdaptive!$L$2</definedName>
    <definedName name="solver_lhs214" localSheetId="3" hidden="1">calcSimple!$H$2</definedName>
    <definedName name="solver_lhs215" localSheetId="4" hidden="1">calcAdaptive!$L$2</definedName>
    <definedName name="solver_lhs215" localSheetId="3" hidden="1">calcSimple!$H$2</definedName>
    <definedName name="solver_lhs216" localSheetId="4" hidden="1">calcAdaptive!$L$2</definedName>
    <definedName name="solver_lhs216" localSheetId="3" hidden="1">calcSimple!$H$2</definedName>
    <definedName name="solver_lhs217" localSheetId="4" hidden="1">calcAdaptive!$L$2</definedName>
    <definedName name="solver_lhs217" localSheetId="3" hidden="1">calcSimple!$H$2</definedName>
    <definedName name="solver_lhs218" localSheetId="4" hidden="1">calcAdaptive!$L$2</definedName>
    <definedName name="solver_lhs218" localSheetId="3" hidden="1">calcSimple!$H$2</definedName>
    <definedName name="solver_lhs219" localSheetId="4" hidden="1">calcAdaptive!$L$2</definedName>
    <definedName name="solver_lhs219" localSheetId="3" hidden="1">calcSimple!$H$2</definedName>
    <definedName name="solver_lhs22" localSheetId="4" hidden="1">calcAdaptive!$L$2</definedName>
    <definedName name="solver_lhs22" localSheetId="3" hidden="1">calcSimple!$H$2</definedName>
    <definedName name="solver_lhs220" localSheetId="4" hidden="1">calcAdaptive!$L$2</definedName>
    <definedName name="solver_lhs220" localSheetId="3" hidden="1">calcSimple!$H$2</definedName>
    <definedName name="solver_lhs221" localSheetId="4" hidden="1">calcAdaptive!$L$2</definedName>
    <definedName name="solver_lhs221" localSheetId="3" hidden="1">calcSimple!$H$2</definedName>
    <definedName name="solver_lhs222" localSheetId="4" hidden="1">calcAdaptive!$L$2</definedName>
    <definedName name="solver_lhs222" localSheetId="3" hidden="1">calcSimple!$H$2</definedName>
    <definedName name="solver_lhs223" localSheetId="4" hidden="1">calcAdaptive!$L$2</definedName>
    <definedName name="solver_lhs223" localSheetId="3" hidden="1">calcSimple!$H$2</definedName>
    <definedName name="solver_lhs224" localSheetId="4" hidden="1">calcAdaptive!$L$2</definedName>
    <definedName name="solver_lhs224" localSheetId="3" hidden="1">calcSimple!$H$2</definedName>
    <definedName name="solver_lhs225" localSheetId="4" hidden="1">calcAdaptive!$L$2</definedName>
    <definedName name="solver_lhs225" localSheetId="3" hidden="1">calcSimple!$H$2</definedName>
    <definedName name="solver_lhs226" localSheetId="4" hidden="1">calcAdaptive!$L$2</definedName>
    <definedName name="solver_lhs226" localSheetId="3" hidden="1">calcSimple!$H$2</definedName>
    <definedName name="solver_lhs227" localSheetId="4" hidden="1">calcAdaptive!$L$2</definedName>
    <definedName name="solver_lhs227" localSheetId="3" hidden="1">calcSimple!$H$2</definedName>
    <definedName name="solver_lhs228" localSheetId="4" hidden="1">calcAdaptive!$L$2</definedName>
    <definedName name="solver_lhs228" localSheetId="3" hidden="1">calcSimple!$H$2</definedName>
    <definedName name="solver_lhs229" localSheetId="4" hidden="1">calcAdaptive!$L$2</definedName>
    <definedName name="solver_lhs229" localSheetId="3" hidden="1">calcSimple!$H$2</definedName>
    <definedName name="solver_lhs23" localSheetId="4" hidden="1">calcAdaptive!$L$2</definedName>
    <definedName name="solver_lhs23" localSheetId="3" hidden="1">calcSimple!$H$2</definedName>
    <definedName name="solver_lhs230" localSheetId="4" hidden="1">calcAdaptive!$L$2</definedName>
    <definedName name="solver_lhs230" localSheetId="3" hidden="1">calcSimple!$H$2</definedName>
    <definedName name="solver_lhs231" localSheetId="4" hidden="1">calcAdaptive!$L$2</definedName>
    <definedName name="solver_lhs231" localSheetId="3" hidden="1">calcSimple!$H$2</definedName>
    <definedName name="solver_lhs232" localSheetId="4" hidden="1">calcAdaptive!$L$2</definedName>
    <definedName name="solver_lhs232" localSheetId="3" hidden="1">calcSimple!$H$2</definedName>
    <definedName name="solver_lhs233" localSheetId="4" hidden="1">calcAdaptive!$L$2</definedName>
    <definedName name="solver_lhs233" localSheetId="3" hidden="1">calcSimple!$H$2</definedName>
    <definedName name="solver_lhs234" localSheetId="4" hidden="1">calcAdaptive!$L$2</definedName>
    <definedName name="solver_lhs234" localSheetId="3" hidden="1">calcSimple!$H$2</definedName>
    <definedName name="solver_lhs235" localSheetId="4" hidden="1">calcAdaptive!$L$2</definedName>
    <definedName name="solver_lhs235" localSheetId="3" hidden="1">calcSimple!$H$2</definedName>
    <definedName name="solver_lhs236" localSheetId="4" hidden="1">calcAdaptive!$L$2</definedName>
    <definedName name="solver_lhs236" localSheetId="3" hidden="1">calcSimple!$H$2</definedName>
    <definedName name="solver_lhs237" localSheetId="4" hidden="1">calcAdaptive!$L$2</definedName>
    <definedName name="solver_lhs237" localSheetId="3" hidden="1">calcSimple!$H$2</definedName>
    <definedName name="solver_lhs238" localSheetId="4" hidden="1">calcAdaptive!$L$2</definedName>
    <definedName name="solver_lhs238" localSheetId="3" hidden="1">calcSimple!$H$2</definedName>
    <definedName name="solver_lhs239" localSheetId="3" hidden="1">calcSimple!$H$2</definedName>
    <definedName name="solver_lhs24" localSheetId="4" hidden="1">calcAdaptive!$L$2</definedName>
    <definedName name="solver_lhs24" localSheetId="3" hidden="1">calcSimple!$H$2</definedName>
    <definedName name="solver_lhs240" localSheetId="3" hidden="1">calcSimple!$H$2</definedName>
    <definedName name="solver_lhs241" localSheetId="3" hidden="1">calcSimple!$H$2</definedName>
    <definedName name="solver_lhs242" localSheetId="3" hidden="1">calcSimple!$H$2</definedName>
    <definedName name="solver_lhs243" localSheetId="3" hidden="1">calcSimple!$H$2</definedName>
    <definedName name="solver_lhs244" localSheetId="3" hidden="1">calcSimple!$H$2</definedName>
    <definedName name="solver_lhs245" localSheetId="3" hidden="1">calcSimple!$H$2</definedName>
    <definedName name="solver_lhs246" localSheetId="3" hidden="1">calcSimple!$H$2</definedName>
    <definedName name="solver_lhs247" localSheetId="3" hidden="1">calcSimple!$H$2</definedName>
    <definedName name="solver_lhs248" localSheetId="3" hidden="1">calcSimple!$H$2</definedName>
    <definedName name="solver_lhs249" localSheetId="3" hidden="1">calcSimple!$H$2</definedName>
    <definedName name="solver_lhs25" localSheetId="4" hidden="1">calcAdaptive!$L$2</definedName>
    <definedName name="solver_lhs25" localSheetId="3" hidden="1">calcSimple!$H$2</definedName>
    <definedName name="solver_lhs250" localSheetId="3" hidden="1">calcSimple!$H$2</definedName>
    <definedName name="solver_lhs251" localSheetId="3" hidden="1">calcSimple!$H$2</definedName>
    <definedName name="solver_lhs252" localSheetId="3" hidden="1">calcSimple!$H$2</definedName>
    <definedName name="solver_lhs253" localSheetId="3" hidden="1">calcSimple!$H$2</definedName>
    <definedName name="solver_lhs254" localSheetId="3" hidden="1">calcSimple!$H$2</definedName>
    <definedName name="solver_lhs255" localSheetId="3" hidden="1">calcSimple!$H$2</definedName>
    <definedName name="solver_lhs256" localSheetId="3" hidden="1">calcSimple!$H$2</definedName>
    <definedName name="solver_lhs257" localSheetId="3" hidden="1">calcSimple!$H$2</definedName>
    <definedName name="solver_lhs258" localSheetId="3" hidden="1">calcSimple!$H$2</definedName>
    <definedName name="solver_lhs259" localSheetId="3" hidden="1">calcSimple!$H$2</definedName>
    <definedName name="solver_lhs26" localSheetId="4" hidden="1">calcAdaptive!$L$2</definedName>
    <definedName name="solver_lhs26" localSheetId="3" hidden="1">calcSimple!$H$2</definedName>
    <definedName name="solver_lhs260" localSheetId="3" hidden="1">calcSimple!$H$2</definedName>
    <definedName name="solver_lhs261" localSheetId="3" hidden="1">calcSimple!$H$2</definedName>
    <definedName name="solver_lhs262" localSheetId="3" hidden="1">calcSimple!$H$2</definedName>
    <definedName name="solver_lhs263" localSheetId="3" hidden="1">calcSimple!$H$2</definedName>
    <definedName name="solver_lhs264" localSheetId="3" hidden="1">calcSimple!$H$2</definedName>
    <definedName name="solver_lhs265" localSheetId="3" hidden="1">calcSimple!$H$2</definedName>
    <definedName name="solver_lhs266" localSheetId="3" hidden="1">calcSimple!$H$2</definedName>
    <definedName name="solver_lhs267" localSheetId="3" hidden="1">calcSimple!$H$2</definedName>
    <definedName name="solver_lhs268" localSheetId="3" hidden="1">calcSimple!$H$2</definedName>
    <definedName name="solver_lhs269" localSheetId="3" hidden="1">calcSimple!$H$2</definedName>
    <definedName name="solver_lhs27" localSheetId="4" hidden="1">calcAdaptive!$L$2</definedName>
    <definedName name="solver_lhs27" localSheetId="3" hidden="1">calcSimple!$H$2</definedName>
    <definedName name="solver_lhs270" localSheetId="3" hidden="1">calcSimple!$H$2</definedName>
    <definedName name="solver_lhs271" localSheetId="3" hidden="1">calcSimple!$H$2</definedName>
    <definedName name="solver_lhs272" localSheetId="3" hidden="1">calcSimple!$H$2</definedName>
    <definedName name="solver_lhs273" localSheetId="3" hidden="1">calcSimple!$H$2</definedName>
    <definedName name="solver_lhs274" localSheetId="3" hidden="1">calcSimple!$H$2</definedName>
    <definedName name="solver_lhs28" localSheetId="4" hidden="1">calcAdaptive!$L$2</definedName>
    <definedName name="solver_lhs28" localSheetId="3" hidden="1">calcSimple!$H$2</definedName>
    <definedName name="solver_lhs29" localSheetId="4" hidden="1">calcAdaptive!$L$2</definedName>
    <definedName name="solver_lhs29" localSheetId="3" hidden="1">calcSimple!$H$2</definedName>
    <definedName name="solver_lhs3" localSheetId="4" hidden="1">calcAdaptive!$L$2</definedName>
    <definedName name="solver_lhs3" localSheetId="3" hidden="1">calcSimple!$H$2</definedName>
    <definedName name="solver_lhs30" localSheetId="4" hidden="1">calcAdaptive!$L$2</definedName>
    <definedName name="solver_lhs30" localSheetId="3" hidden="1">calcSimple!$H$2</definedName>
    <definedName name="solver_lhs31" localSheetId="4" hidden="1">calcAdaptive!$L$2</definedName>
    <definedName name="solver_lhs31" localSheetId="3" hidden="1">calcSimple!$H$2</definedName>
    <definedName name="solver_lhs32" localSheetId="4" hidden="1">calcAdaptive!$L$2</definedName>
    <definedName name="solver_lhs32" localSheetId="3" hidden="1">calcSimple!$H$2</definedName>
    <definedName name="solver_lhs33" localSheetId="4" hidden="1">calcAdaptive!$L$2</definedName>
    <definedName name="solver_lhs33" localSheetId="3" hidden="1">calcSimple!$H$2</definedName>
    <definedName name="solver_lhs34" localSheetId="4" hidden="1">calcAdaptive!$L$2</definedName>
    <definedName name="solver_lhs34" localSheetId="3" hidden="1">calcSimple!$H$2</definedName>
    <definedName name="solver_lhs35" localSheetId="4" hidden="1">calcAdaptive!$L$2</definedName>
    <definedName name="solver_lhs35" localSheetId="3" hidden="1">calcSimple!$H$2</definedName>
    <definedName name="solver_lhs36" localSheetId="4" hidden="1">calcAdaptive!$L$2</definedName>
    <definedName name="solver_lhs36" localSheetId="3" hidden="1">calcSimple!$H$2</definedName>
    <definedName name="solver_lhs37" localSheetId="4" hidden="1">calcAdaptive!$L$2</definedName>
    <definedName name="solver_lhs37" localSheetId="3" hidden="1">calcSimple!$H$2</definedName>
    <definedName name="solver_lhs38" localSheetId="4" hidden="1">calcAdaptive!$L$2</definedName>
    <definedName name="solver_lhs38" localSheetId="3" hidden="1">calcSimple!$H$2</definedName>
    <definedName name="solver_lhs39" localSheetId="4" hidden="1">calcAdaptive!$L$2</definedName>
    <definedName name="solver_lhs39" localSheetId="3" hidden="1">calcSimple!$H$2</definedName>
    <definedName name="solver_lhs4" localSheetId="4" hidden="1">calcAdaptive!$L$2</definedName>
    <definedName name="solver_lhs4" localSheetId="3" hidden="1">calcSimple!$H$2</definedName>
    <definedName name="solver_lhs40" localSheetId="4" hidden="1">calcAdaptive!$L$2</definedName>
    <definedName name="solver_lhs40" localSheetId="3" hidden="1">calcSimple!$H$2</definedName>
    <definedName name="solver_lhs41" localSheetId="4" hidden="1">calcAdaptive!$L$2</definedName>
    <definedName name="solver_lhs41" localSheetId="3" hidden="1">calcSimple!$H$2</definedName>
    <definedName name="solver_lhs42" localSheetId="4" hidden="1">calcAdaptive!$L$2</definedName>
    <definedName name="solver_lhs42" localSheetId="3" hidden="1">calcSimple!$H$2</definedName>
    <definedName name="solver_lhs43" localSheetId="4" hidden="1">calcAdaptive!$L$2</definedName>
    <definedName name="solver_lhs43" localSheetId="3" hidden="1">calcSimple!$H$2</definedName>
    <definedName name="solver_lhs44" localSheetId="4" hidden="1">calcAdaptive!$L$2</definedName>
    <definedName name="solver_lhs44" localSheetId="3" hidden="1">calcSimple!$H$2</definedName>
    <definedName name="solver_lhs45" localSheetId="4" hidden="1">calcAdaptive!$L$2</definedName>
    <definedName name="solver_lhs45" localSheetId="3" hidden="1">calcSimple!$H$2</definedName>
    <definedName name="solver_lhs46" localSheetId="4" hidden="1">calcAdaptive!$L$2</definedName>
    <definedName name="solver_lhs46" localSheetId="3" hidden="1">calcSimple!$H$2</definedName>
    <definedName name="solver_lhs47" localSheetId="4" hidden="1">calcAdaptive!$L$2</definedName>
    <definedName name="solver_lhs47" localSheetId="3" hidden="1">calcSimple!$H$2</definedName>
    <definedName name="solver_lhs48" localSheetId="4" hidden="1">calcAdaptive!$L$2</definedName>
    <definedName name="solver_lhs48" localSheetId="3" hidden="1">calcSimple!$H$2</definedName>
    <definedName name="solver_lhs49" localSheetId="4" hidden="1">calcAdaptive!$L$2</definedName>
    <definedName name="solver_lhs49" localSheetId="3" hidden="1">calcSimple!$H$2</definedName>
    <definedName name="solver_lhs5" localSheetId="4" hidden="1">calcAdaptive!$L$2</definedName>
    <definedName name="solver_lhs5" localSheetId="3" hidden="1">calcSimple!$H$2</definedName>
    <definedName name="solver_lhs50" localSheetId="4" hidden="1">calcAdaptive!$L$2</definedName>
    <definedName name="solver_lhs50" localSheetId="3" hidden="1">calcSimple!$H$2</definedName>
    <definedName name="solver_lhs51" localSheetId="4" hidden="1">calcAdaptive!$L$2</definedName>
    <definedName name="solver_lhs51" localSheetId="3" hidden="1">calcSimple!$H$2</definedName>
    <definedName name="solver_lhs52" localSheetId="4" hidden="1">calcAdaptive!$L$2</definedName>
    <definedName name="solver_lhs52" localSheetId="3" hidden="1">calcSimple!$H$2</definedName>
    <definedName name="solver_lhs53" localSheetId="4" hidden="1">calcAdaptive!$L$2</definedName>
    <definedName name="solver_lhs53" localSheetId="3" hidden="1">calcSimple!$H$2</definedName>
    <definedName name="solver_lhs54" localSheetId="4" hidden="1">calcAdaptive!$L$2</definedName>
    <definedName name="solver_lhs54" localSheetId="3" hidden="1">calcSimple!$H$2</definedName>
    <definedName name="solver_lhs55" localSheetId="4" hidden="1">calcAdaptive!$L$2</definedName>
    <definedName name="solver_lhs55" localSheetId="3" hidden="1">calcSimple!$H$2</definedName>
    <definedName name="solver_lhs56" localSheetId="4" hidden="1">calcAdaptive!$L$2</definedName>
    <definedName name="solver_lhs56" localSheetId="3" hidden="1">calcSimple!$H$2</definedName>
    <definedName name="solver_lhs57" localSheetId="4" hidden="1">calcAdaptive!$L$2</definedName>
    <definedName name="solver_lhs57" localSheetId="3" hidden="1">calcSimple!$H$2</definedName>
    <definedName name="solver_lhs58" localSheetId="4" hidden="1">calcAdaptive!$L$2</definedName>
    <definedName name="solver_lhs58" localSheetId="3" hidden="1">calcSimple!$H$2</definedName>
    <definedName name="solver_lhs59" localSheetId="4" hidden="1">calcAdaptive!$L$2</definedName>
    <definedName name="solver_lhs59" localSheetId="3" hidden="1">calcSimple!$H$2</definedName>
    <definedName name="solver_lhs6" localSheetId="4" hidden="1">calcAdaptive!$L$2</definedName>
    <definedName name="solver_lhs6" localSheetId="3" hidden="1">calcSimple!$H$2</definedName>
    <definedName name="solver_lhs60" localSheetId="4" hidden="1">calcAdaptive!$L$2</definedName>
    <definedName name="solver_lhs60" localSheetId="3" hidden="1">calcSimple!$H$2</definedName>
    <definedName name="solver_lhs61" localSheetId="4" hidden="1">calcAdaptive!$L$2</definedName>
    <definedName name="solver_lhs61" localSheetId="3" hidden="1">calcSimple!$H$2</definedName>
    <definedName name="solver_lhs62" localSheetId="4" hidden="1">calcAdaptive!$L$2</definedName>
    <definedName name="solver_lhs62" localSheetId="3" hidden="1">calcSimple!$H$2</definedName>
    <definedName name="solver_lhs63" localSheetId="4" hidden="1">calcAdaptive!$L$2</definedName>
    <definedName name="solver_lhs63" localSheetId="3" hidden="1">calcSimple!$H$2</definedName>
    <definedName name="solver_lhs64" localSheetId="4" hidden="1">calcAdaptive!$L$2</definedName>
    <definedName name="solver_lhs64" localSheetId="3" hidden="1">calcSimple!$H$2</definedName>
    <definedName name="solver_lhs65" localSheetId="4" hidden="1">calcAdaptive!$L$2</definedName>
    <definedName name="solver_lhs65" localSheetId="3" hidden="1">calcSimple!$H$2</definedName>
    <definedName name="solver_lhs66" localSheetId="4" hidden="1">calcAdaptive!$L$2</definedName>
    <definedName name="solver_lhs66" localSheetId="3" hidden="1">calcSimple!$H$2</definedName>
    <definedName name="solver_lhs67" localSheetId="4" hidden="1">calcAdaptive!$L$2</definedName>
    <definedName name="solver_lhs67" localSheetId="3" hidden="1">calcSimple!$H$2</definedName>
    <definedName name="solver_lhs68" localSheetId="4" hidden="1">calcAdaptive!$L$2</definedName>
    <definedName name="solver_lhs68" localSheetId="3" hidden="1">calcSimple!$H$2</definedName>
    <definedName name="solver_lhs69" localSheetId="4" hidden="1">calcAdaptive!$L$2</definedName>
    <definedName name="solver_lhs69" localSheetId="3" hidden="1">calcSimple!$H$2</definedName>
    <definedName name="solver_lhs7" localSheetId="4" hidden="1">calcAdaptive!$L$2</definedName>
    <definedName name="solver_lhs7" localSheetId="3" hidden="1">calcSimple!$H$2</definedName>
    <definedName name="solver_lhs70" localSheetId="4" hidden="1">calcAdaptive!$L$2</definedName>
    <definedName name="solver_lhs70" localSheetId="3" hidden="1">calcSimple!$H$2</definedName>
    <definedName name="solver_lhs71" localSheetId="4" hidden="1">calcAdaptive!$L$2</definedName>
    <definedName name="solver_lhs71" localSheetId="3" hidden="1">calcSimple!$H$2</definedName>
    <definedName name="solver_lhs72" localSheetId="4" hidden="1">calcAdaptive!$L$2</definedName>
    <definedName name="solver_lhs72" localSheetId="3" hidden="1">calcSimple!$H$2</definedName>
    <definedName name="solver_lhs73" localSheetId="4" hidden="1">calcAdaptive!$L$2</definedName>
    <definedName name="solver_lhs73" localSheetId="3" hidden="1">calcSimple!$H$2</definedName>
    <definedName name="solver_lhs74" localSheetId="4" hidden="1">calcAdaptive!$L$2</definedName>
    <definedName name="solver_lhs74" localSheetId="3" hidden="1">calcSimple!$H$2</definedName>
    <definedName name="solver_lhs75" localSheetId="4" hidden="1">calcAdaptive!$L$2</definedName>
    <definedName name="solver_lhs75" localSheetId="3" hidden="1">calcSimple!$H$2</definedName>
    <definedName name="solver_lhs76" localSheetId="4" hidden="1">calcAdaptive!$L$2</definedName>
    <definedName name="solver_lhs76" localSheetId="3" hidden="1">calcSimple!$H$2</definedName>
    <definedName name="solver_lhs77" localSheetId="4" hidden="1">calcAdaptive!$L$2</definedName>
    <definedName name="solver_lhs77" localSheetId="3" hidden="1">calcSimple!$H$2</definedName>
    <definedName name="solver_lhs78" localSheetId="4" hidden="1">calcAdaptive!$L$2</definedName>
    <definedName name="solver_lhs78" localSheetId="3" hidden="1">calcSimple!$H$2</definedName>
    <definedName name="solver_lhs79" localSheetId="4" hidden="1">calcAdaptive!$L$2</definedName>
    <definedName name="solver_lhs79" localSheetId="3" hidden="1">calcSimple!$H$2</definedName>
    <definedName name="solver_lhs8" localSheetId="4" hidden="1">calcAdaptive!$L$2</definedName>
    <definedName name="solver_lhs8" localSheetId="3" hidden="1">calcSimple!$H$2</definedName>
    <definedName name="solver_lhs80" localSheetId="4" hidden="1">calcAdaptive!$L$2</definedName>
    <definedName name="solver_lhs80" localSheetId="3" hidden="1">calcSimple!$H$2</definedName>
    <definedName name="solver_lhs81" localSheetId="4" hidden="1">calcAdaptive!$L$2</definedName>
    <definedName name="solver_lhs81" localSheetId="3" hidden="1">calcSimple!$H$2</definedName>
    <definedName name="solver_lhs82" localSheetId="4" hidden="1">calcAdaptive!$L$2</definedName>
    <definedName name="solver_lhs82" localSheetId="3" hidden="1">calcSimple!$H$2</definedName>
    <definedName name="solver_lhs83" localSheetId="4" hidden="1">calcAdaptive!$L$2</definedName>
    <definedName name="solver_lhs83" localSheetId="3" hidden="1">calcSimple!$H$2</definedName>
    <definedName name="solver_lhs84" localSheetId="4" hidden="1">calcAdaptive!$L$2</definedName>
    <definedName name="solver_lhs84" localSheetId="3" hidden="1">calcSimple!$H$2</definedName>
    <definedName name="solver_lhs85" localSheetId="4" hidden="1">calcAdaptive!$L$2</definedName>
    <definedName name="solver_lhs85" localSheetId="3" hidden="1">calcSimple!$H$2</definedName>
    <definedName name="solver_lhs86" localSheetId="4" hidden="1">calcAdaptive!$L$2</definedName>
    <definedName name="solver_lhs86" localSheetId="3" hidden="1">calcSimple!$H$2</definedName>
    <definedName name="solver_lhs87" localSheetId="4" hidden="1">calcAdaptive!$L$2</definedName>
    <definedName name="solver_lhs87" localSheetId="3" hidden="1">calcSimple!$H$2</definedName>
    <definedName name="solver_lhs88" localSheetId="4" hidden="1">calcAdaptive!$L$2</definedName>
    <definedName name="solver_lhs88" localSheetId="3" hidden="1">calcSimple!$H$2</definedName>
    <definedName name="solver_lhs89" localSheetId="4" hidden="1">calcAdaptive!$L$2</definedName>
    <definedName name="solver_lhs89" localSheetId="3" hidden="1">calcSimple!$H$2</definedName>
    <definedName name="solver_lhs9" localSheetId="4" hidden="1">calcAdaptive!$L$2</definedName>
    <definedName name="solver_lhs9" localSheetId="3" hidden="1">calcSimple!$H$2</definedName>
    <definedName name="solver_lhs90" localSheetId="4" hidden="1">calcAdaptive!$L$2</definedName>
    <definedName name="solver_lhs90" localSheetId="3" hidden="1">calcSimple!$H$2</definedName>
    <definedName name="solver_lhs91" localSheetId="4" hidden="1">calcAdaptive!$L$2</definedName>
    <definedName name="solver_lhs91" localSheetId="3" hidden="1">calcSimple!$H$2</definedName>
    <definedName name="solver_lhs92" localSheetId="4" hidden="1">calcAdaptive!$L$2</definedName>
    <definedName name="solver_lhs92" localSheetId="3" hidden="1">calcSimple!$H$2</definedName>
    <definedName name="solver_lhs93" localSheetId="4" hidden="1">calcAdaptive!$L$2</definedName>
    <definedName name="solver_lhs93" localSheetId="3" hidden="1">calcSimple!$H$2</definedName>
    <definedName name="solver_lhs94" localSheetId="4" hidden="1">calcAdaptive!$L$2</definedName>
    <definedName name="solver_lhs94" localSheetId="3" hidden="1">calcSimple!$H$2</definedName>
    <definedName name="solver_lhs95" localSheetId="4" hidden="1">calcAdaptive!$L$2</definedName>
    <definedName name="solver_lhs95" localSheetId="3" hidden="1">calcSimple!$H$2</definedName>
    <definedName name="solver_lhs96" localSheetId="4" hidden="1">calcAdaptive!$L$2</definedName>
    <definedName name="solver_lhs96" localSheetId="3" hidden="1">calcSimple!$H$2</definedName>
    <definedName name="solver_lhs97" localSheetId="4" hidden="1">calcAdaptive!$L$2</definedName>
    <definedName name="solver_lhs97" localSheetId="3" hidden="1">calcSimple!$H$2</definedName>
    <definedName name="solver_lhs98" localSheetId="4" hidden="1">calcAdaptive!$L$2</definedName>
    <definedName name="solver_lhs98" localSheetId="3" hidden="1">calcSimple!$H$2</definedName>
    <definedName name="solver_lhs99" localSheetId="4" hidden="1">calcAdaptive!$L$2</definedName>
    <definedName name="solver_lhs99" localSheetId="3" hidden="1">calcSimple!$H$2</definedName>
    <definedName name="solver_mip" localSheetId="4" hidden="1">2147483647</definedName>
    <definedName name="solver_mip" localSheetId="3" hidden="1">2147483647</definedName>
    <definedName name="solver_mni" localSheetId="4" hidden="1">30</definedName>
    <definedName name="solver_mni" localSheetId="3" hidden="1">30</definedName>
    <definedName name="solver_mrt" localSheetId="4" hidden="1">0.075</definedName>
    <definedName name="solver_mrt" localSheetId="3" hidden="1">0.075</definedName>
    <definedName name="solver_msl" localSheetId="4" hidden="1">2</definedName>
    <definedName name="solver_msl" localSheetId="3" hidden="1">2</definedName>
    <definedName name="solver_neg" localSheetId="4" hidden="1">1</definedName>
    <definedName name="solver_neg" localSheetId="3" hidden="1">1</definedName>
    <definedName name="solver_nod" localSheetId="4" hidden="1">2147483647</definedName>
    <definedName name="solver_nod" localSheetId="3" hidden="1">2147483647</definedName>
    <definedName name="solver_num" localSheetId="4" hidden="1">160</definedName>
    <definedName name="solver_num" localSheetId="3" hidden="1">274</definedName>
    <definedName name="solver_nwt" localSheetId="4" hidden="1">1</definedName>
    <definedName name="solver_nwt" localSheetId="3" hidden="1">1</definedName>
    <definedName name="solver_opt" localSheetId="4" hidden="1">calcAdaptive!$K$2</definedName>
    <definedName name="solver_opt" localSheetId="3" hidden="1">calcSimple!$G$2</definedName>
    <definedName name="solver_pre" localSheetId="4" hidden="1">0.000001</definedName>
    <definedName name="solver_pre" localSheetId="3" hidden="1">0.000001</definedName>
    <definedName name="solver_rbv" localSheetId="4" hidden="1">2</definedName>
    <definedName name="solver_rbv" localSheetId="3" hidden="1">1</definedName>
    <definedName name="solver_rel1" localSheetId="4" hidden="1">3</definedName>
    <definedName name="solver_rel1" localSheetId="3" hidden="1">1</definedName>
    <definedName name="solver_rel10" localSheetId="4" hidden="1">1</definedName>
    <definedName name="solver_rel10" localSheetId="3" hidden="1">1</definedName>
    <definedName name="solver_rel100" localSheetId="4" hidden="1">1</definedName>
    <definedName name="solver_rel100" localSheetId="3" hidden="1">1</definedName>
    <definedName name="solver_rel101" localSheetId="4" hidden="1">3</definedName>
    <definedName name="solver_rel101" localSheetId="3" hidden="1">3</definedName>
    <definedName name="solver_rel102" localSheetId="4" hidden="1">1</definedName>
    <definedName name="solver_rel102" localSheetId="3" hidden="1">1</definedName>
    <definedName name="solver_rel103" localSheetId="4" hidden="1">3</definedName>
    <definedName name="solver_rel103" localSheetId="3" hidden="1">3</definedName>
    <definedName name="solver_rel104" localSheetId="4" hidden="1">1</definedName>
    <definedName name="solver_rel104" localSheetId="3" hidden="1">1</definedName>
    <definedName name="solver_rel105" localSheetId="4" hidden="1">3</definedName>
    <definedName name="solver_rel105" localSheetId="3" hidden="1">3</definedName>
    <definedName name="solver_rel106" localSheetId="4" hidden="1">1</definedName>
    <definedName name="solver_rel106" localSheetId="3" hidden="1">1</definedName>
    <definedName name="solver_rel107" localSheetId="4" hidden="1">3</definedName>
    <definedName name="solver_rel107" localSheetId="3" hidden="1">3</definedName>
    <definedName name="solver_rel108" localSheetId="4" hidden="1">1</definedName>
    <definedName name="solver_rel108" localSheetId="3" hidden="1">1</definedName>
    <definedName name="solver_rel109" localSheetId="4" hidden="1">3</definedName>
    <definedName name="solver_rel109" localSheetId="3" hidden="1">3</definedName>
    <definedName name="solver_rel11" localSheetId="4" hidden="1">3</definedName>
    <definedName name="solver_rel11" localSheetId="3" hidden="1">3</definedName>
    <definedName name="solver_rel110" localSheetId="4" hidden="1">1</definedName>
    <definedName name="solver_rel110" localSheetId="3" hidden="1">1</definedName>
    <definedName name="solver_rel111" localSheetId="4" hidden="1">3</definedName>
    <definedName name="solver_rel111" localSheetId="3" hidden="1">3</definedName>
    <definedName name="solver_rel112" localSheetId="4" hidden="1">1</definedName>
    <definedName name="solver_rel112" localSheetId="3" hidden="1">1</definedName>
    <definedName name="solver_rel113" localSheetId="4" hidden="1">3</definedName>
    <definedName name="solver_rel113" localSheetId="3" hidden="1">3</definedName>
    <definedName name="solver_rel114" localSheetId="4" hidden="1">1</definedName>
    <definedName name="solver_rel114" localSheetId="3" hidden="1">1</definedName>
    <definedName name="solver_rel115" localSheetId="4" hidden="1">3</definedName>
    <definedName name="solver_rel115" localSheetId="3" hidden="1">3</definedName>
    <definedName name="solver_rel116" localSheetId="4" hidden="1">1</definedName>
    <definedName name="solver_rel116" localSheetId="3" hidden="1">1</definedName>
    <definedName name="solver_rel117" localSheetId="4" hidden="1">3</definedName>
    <definedName name="solver_rel117" localSheetId="3" hidden="1">3</definedName>
    <definedName name="solver_rel118" localSheetId="4" hidden="1">1</definedName>
    <definedName name="solver_rel118" localSheetId="3" hidden="1">1</definedName>
    <definedName name="solver_rel119" localSheetId="4" hidden="1">3</definedName>
    <definedName name="solver_rel119" localSheetId="3" hidden="1">3</definedName>
    <definedName name="solver_rel12" localSheetId="4" hidden="1">1</definedName>
    <definedName name="solver_rel12" localSheetId="3" hidden="1">1</definedName>
    <definedName name="solver_rel120" localSheetId="4" hidden="1">1</definedName>
    <definedName name="solver_rel120" localSheetId="3" hidden="1">1</definedName>
    <definedName name="solver_rel121" localSheetId="4" hidden="1">3</definedName>
    <definedName name="solver_rel121" localSheetId="3" hidden="1">3</definedName>
    <definedName name="solver_rel122" localSheetId="4" hidden="1">1</definedName>
    <definedName name="solver_rel122" localSheetId="3" hidden="1">1</definedName>
    <definedName name="solver_rel123" localSheetId="4" hidden="1">3</definedName>
    <definedName name="solver_rel123" localSheetId="3" hidden="1">3</definedName>
    <definedName name="solver_rel124" localSheetId="4" hidden="1">1</definedName>
    <definedName name="solver_rel124" localSheetId="3" hidden="1">1</definedName>
    <definedName name="solver_rel125" localSheetId="4" hidden="1">3</definedName>
    <definedName name="solver_rel125" localSheetId="3" hidden="1">3</definedName>
    <definedName name="solver_rel126" localSheetId="4" hidden="1">1</definedName>
    <definedName name="solver_rel126" localSheetId="3" hidden="1">1</definedName>
    <definedName name="solver_rel127" localSheetId="4" hidden="1">3</definedName>
    <definedName name="solver_rel127" localSheetId="3" hidden="1">3</definedName>
    <definedName name="solver_rel128" localSheetId="4" hidden="1">1</definedName>
    <definedName name="solver_rel128" localSheetId="3" hidden="1">1</definedName>
    <definedName name="solver_rel129" localSheetId="4" hidden="1">3</definedName>
    <definedName name="solver_rel129" localSheetId="3" hidden="1">3</definedName>
    <definedName name="solver_rel13" localSheetId="4" hidden="1">3</definedName>
    <definedName name="solver_rel13" localSheetId="3" hidden="1">3</definedName>
    <definedName name="solver_rel130" localSheetId="4" hidden="1">1</definedName>
    <definedName name="solver_rel130" localSheetId="3" hidden="1">1</definedName>
    <definedName name="solver_rel131" localSheetId="4" hidden="1">3</definedName>
    <definedName name="solver_rel131" localSheetId="3" hidden="1">3</definedName>
    <definedName name="solver_rel132" localSheetId="4" hidden="1">1</definedName>
    <definedName name="solver_rel132" localSheetId="3" hidden="1">1</definedName>
    <definedName name="solver_rel133" localSheetId="4" hidden="1">3</definedName>
    <definedName name="solver_rel133" localSheetId="3" hidden="1">3</definedName>
    <definedName name="solver_rel134" localSheetId="4" hidden="1">1</definedName>
    <definedName name="solver_rel134" localSheetId="3" hidden="1">1</definedName>
    <definedName name="solver_rel135" localSheetId="4" hidden="1">3</definedName>
    <definedName name="solver_rel135" localSheetId="3" hidden="1">3</definedName>
    <definedName name="solver_rel136" localSheetId="4" hidden="1">1</definedName>
    <definedName name="solver_rel136" localSheetId="3" hidden="1">1</definedName>
    <definedName name="solver_rel137" localSheetId="4" hidden="1">3</definedName>
    <definedName name="solver_rel137" localSheetId="3" hidden="1">3</definedName>
    <definedName name="solver_rel138" localSheetId="4" hidden="1">1</definedName>
    <definedName name="solver_rel138" localSheetId="3" hidden="1">1</definedName>
    <definedName name="solver_rel139" localSheetId="4" hidden="1">3</definedName>
    <definedName name="solver_rel139" localSheetId="3" hidden="1">3</definedName>
    <definedName name="solver_rel14" localSheetId="4" hidden="1">1</definedName>
    <definedName name="solver_rel14" localSheetId="3" hidden="1">1</definedName>
    <definedName name="solver_rel140" localSheetId="4" hidden="1">1</definedName>
    <definedName name="solver_rel140" localSheetId="3" hidden="1">1</definedName>
    <definedName name="solver_rel141" localSheetId="4" hidden="1">3</definedName>
    <definedName name="solver_rel141" localSheetId="3" hidden="1">3</definedName>
    <definedName name="solver_rel142" localSheetId="4" hidden="1">1</definedName>
    <definedName name="solver_rel142" localSheetId="3" hidden="1">1</definedName>
    <definedName name="solver_rel143" localSheetId="4" hidden="1">3</definedName>
    <definedName name="solver_rel143" localSheetId="3" hidden="1">3</definedName>
    <definedName name="solver_rel144" localSheetId="4" hidden="1">1</definedName>
    <definedName name="solver_rel144" localSheetId="3" hidden="1">1</definedName>
    <definedName name="solver_rel145" localSheetId="4" hidden="1">3</definedName>
    <definedName name="solver_rel145" localSheetId="3" hidden="1">3</definedName>
    <definedName name="solver_rel146" localSheetId="4" hidden="1">1</definedName>
    <definedName name="solver_rel146" localSheetId="3" hidden="1">1</definedName>
    <definedName name="solver_rel147" localSheetId="4" hidden="1">3</definedName>
    <definedName name="solver_rel147" localSheetId="3" hidden="1">3</definedName>
    <definedName name="solver_rel148" localSheetId="4" hidden="1">1</definedName>
    <definedName name="solver_rel148" localSheetId="3" hidden="1">1</definedName>
    <definedName name="solver_rel149" localSheetId="4" hidden="1">3</definedName>
    <definedName name="solver_rel149" localSheetId="3" hidden="1">3</definedName>
    <definedName name="solver_rel15" localSheetId="4" hidden="1">3</definedName>
    <definedName name="solver_rel15" localSheetId="3" hidden="1">3</definedName>
    <definedName name="solver_rel150" localSheetId="4" hidden="1">1</definedName>
    <definedName name="solver_rel150" localSheetId="3" hidden="1">1</definedName>
    <definedName name="solver_rel151" localSheetId="4" hidden="1">3</definedName>
    <definedName name="solver_rel151" localSheetId="3" hidden="1">3</definedName>
    <definedName name="solver_rel152" localSheetId="4" hidden="1">1</definedName>
    <definedName name="solver_rel152" localSheetId="3" hidden="1">1</definedName>
    <definedName name="solver_rel153" localSheetId="4" hidden="1">3</definedName>
    <definedName name="solver_rel153" localSheetId="3" hidden="1">3</definedName>
    <definedName name="solver_rel154" localSheetId="4" hidden="1">1</definedName>
    <definedName name="solver_rel154" localSheetId="3" hidden="1">1</definedName>
    <definedName name="solver_rel155" localSheetId="4" hidden="1">3</definedName>
    <definedName name="solver_rel155" localSheetId="3" hidden="1">3</definedName>
    <definedName name="solver_rel156" localSheetId="4" hidden="1">1</definedName>
    <definedName name="solver_rel156" localSheetId="3" hidden="1">1</definedName>
    <definedName name="solver_rel157" localSheetId="4" hidden="1">3</definedName>
    <definedName name="solver_rel157" localSheetId="3" hidden="1">3</definedName>
    <definedName name="solver_rel158" localSheetId="4" hidden="1">1</definedName>
    <definedName name="solver_rel158" localSheetId="3" hidden="1">1</definedName>
    <definedName name="solver_rel159" localSheetId="4" hidden="1">3</definedName>
    <definedName name="solver_rel159" localSheetId="3" hidden="1">3</definedName>
    <definedName name="solver_rel16" localSheetId="4" hidden="1">1</definedName>
    <definedName name="solver_rel16" localSheetId="3" hidden="1">1</definedName>
    <definedName name="solver_rel160" localSheetId="4" hidden="1">1</definedName>
    <definedName name="solver_rel160" localSheetId="3" hidden="1">1</definedName>
    <definedName name="solver_rel161" localSheetId="4" hidden="1">3</definedName>
    <definedName name="solver_rel161" localSheetId="3" hidden="1">3</definedName>
    <definedName name="solver_rel162" localSheetId="4" hidden="1">3</definedName>
    <definedName name="solver_rel162" localSheetId="3" hidden="1">1</definedName>
    <definedName name="solver_rel163" localSheetId="4" hidden="1">1</definedName>
    <definedName name="solver_rel163" localSheetId="3" hidden="1">3</definedName>
    <definedName name="solver_rel164" localSheetId="4" hidden="1">3</definedName>
    <definedName name="solver_rel164" localSheetId="3" hidden="1">1</definedName>
    <definedName name="solver_rel165" localSheetId="4" hidden="1">3</definedName>
    <definedName name="solver_rel165" localSheetId="3" hidden="1">3</definedName>
    <definedName name="solver_rel166" localSheetId="4" hidden="1">3</definedName>
    <definedName name="solver_rel166" localSheetId="3" hidden="1">1</definedName>
    <definedName name="solver_rel167" localSheetId="4" hidden="1">3</definedName>
    <definedName name="solver_rel167" localSheetId="3" hidden="1">3</definedName>
    <definedName name="solver_rel168" localSheetId="4" hidden="1">3</definedName>
    <definedName name="solver_rel168" localSheetId="3" hidden="1">1</definedName>
    <definedName name="solver_rel169" localSheetId="4" hidden="1">3</definedName>
    <definedName name="solver_rel169" localSheetId="3" hidden="1">3</definedName>
    <definedName name="solver_rel17" localSheetId="4" hidden="1">3</definedName>
    <definedName name="solver_rel17" localSheetId="3" hidden="1">3</definedName>
    <definedName name="solver_rel170" localSheetId="4" hidden="1">3</definedName>
    <definedName name="solver_rel170" localSheetId="3" hidden="1">1</definedName>
    <definedName name="solver_rel171" localSheetId="4" hidden="1">3</definedName>
    <definedName name="solver_rel171" localSheetId="3" hidden="1">3</definedName>
    <definedName name="solver_rel172" localSheetId="4" hidden="1">3</definedName>
    <definedName name="solver_rel172" localSheetId="3" hidden="1">1</definedName>
    <definedName name="solver_rel173" localSheetId="4" hidden="1">3</definedName>
    <definedName name="solver_rel173" localSheetId="3" hidden="1">3</definedName>
    <definedName name="solver_rel174" localSheetId="4" hidden="1">3</definedName>
    <definedName name="solver_rel174" localSheetId="3" hidden="1">1</definedName>
    <definedName name="solver_rel175" localSheetId="4" hidden="1">3</definedName>
    <definedName name="solver_rel175" localSheetId="3" hidden="1">3</definedName>
    <definedName name="solver_rel176" localSheetId="4" hidden="1">3</definedName>
    <definedName name="solver_rel176" localSheetId="3" hidden="1">1</definedName>
    <definedName name="solver_rel177" localSheetId="4" hidden="1">3</definedName>
    <definedName name="solver_rel177" localSheetId="3" hidden="1">3</definedName>
    <definedName name="solver_rel178" localSheetId="4" hidden="1">1</definedName>
    <definedName name="solver_rel178" localSheetId="3" hidden="1">1</definedName>
    <definedName name="solver_rel179" localSheetId="4" hidden="1">3</definedName>
    <definedName name="solver_rel179" localSheetId="3" hidden="1">3</definedName>
    <definedName name="solver_rel18" localSheetId="4" hidden="1">1</definedName>
    <definedName name="solver_rel18" localSheetId="3" hidden="1">1</definedName>
    <definedName name="solver_rel180" localSheetId="4" hidden="1">3</definedName>
    <definedName name="solver_rel180" localSheetId="3" hidden="1">1</definedName>
    <definedName name="solver_rel181" localSheetId="4" hidden="1">3</definedName>
    <definedName name="solver_rel181" localSheetId="3" hidden="1">3</definedName>
    <definedName name="solver_rel182" localSheetId="4" hidden="1">3</definedName>
    <definedName name="solver_rel182" localSheetId="3" hidden="1">1</definedName>
    <definedName name="solver_rel183" localSheetId="4" hidden="1">3</definedName>
    <definedName name="solver_rel183" localSheetId="3" hidden="1">3</definedName>
    <definedName name="solver_rel184" localSheetId="4" hidden="1">3</definedName>
    <definedName name="solver_rel184" localSheetId="3" hidden="1">1</definedName>
    <definedName name="solver_rel185" localSheetId="4" hidden="1">3</definedName>
    <definedName name="solver_rel185" localSheetId="3" hidden="1">3</definedName>
    <definedName name="solver_rel186" localSheetId="4" hidden="1">3</definedName>
    <definedName name="solver_rel186" localSheetId="3" hidden="1">1</definedName>
    <definedName name="solver_rel187" localSheetId="4" hidden="1">3</definedName>
    <definedName name="solver_rel187" localSheetId="3" hidden="1">3</definedName>
    <definedName name="solver_rel188" localSheetId="4" hidden="1">3</definedName>
    <definedName name="solver_rel188" localSheetId="3" hidden="1">1</definedName>
    <definedName name="solver_rel189" localSheetId="4" hidden="1">3</definedName>
    <definedName name="solver_rel189" localSheetId="3" hidden="1">3</definedName>
    <definedName name="solver_rel19" localSheetId="4" hidden="1">3</definedName>
    <definedName name="solver_rel19" localSheetId="3" hidden="1">3</definedName>
    <definedName name="solver_rel190" localSheetId="4" hidden="1">3</definedName>
    <definedName name="solver_rel190" localSheetId="3" hidden="1">1</definedName>
    <definedName name="solver_rel191" localSheetId="4" hidden="1">3</definedName>
    <definedName name="solver_rel191" localSheetId="3" hidden="1">3</definedName>
    <definedName name="solver_rel192" localSheetId="4" hidden="1">3</definedName>
    <definedName name="solver_rel192" localSheetId="3" hidden="1">1</definedName>
    <definedName name="solver_rel193" localSheetId="4" hidden="1">1</definedName>
    <definedName name="solver_rel193" localSheetId="3" hidden="1">3</definedName>
    <definedName name="solver_rel194" localSheetId="4" hidden="1">3</definedName>
    <definedName name="solver_rel194" localSheetId="3" hidden="1">1</definedName>
    <definedName name="solver_rel195" localSheetId="4" hidden="1">3</definedName>
    <definedName name="solver_rel195" localSheetId="3" hidden="1">3</definedName>
    <definedName name="solver_rel196" localSheetId="4" hidden="1">3</definedName>
    <definedName name="solver_rel196" localSheetId="3" hidden="1">1</definedName>
    <definedName name="solver_rel197" localSheetId="4" hidden="1">3</definedName>
    <definedName name="solver_rel197" localSheetId="3" hidden="1">3</definedName>
    <definedName name="solver_rel198" localSheetId="4" hidden="1">3</definedName>
    <definedName name="solver_rel198" localSheetId="3" hidden="1">1</definedName>
    <definedName name="solver_rel199" localSheetId="4" hidden="1">3</definedName>
    <definedName name="solver_rel199" localSheetId="3" hidden="1">3</definedName>
    <definedName name="solver_rel2" localSheetId="4" hidden="1">1</definedName>
    <definedName name="solver_rel2" localSheetId="3" hidden="1">3</definedName>
    <definedName name="solver_rel20" localSheetId="4" hidden="1">1</definedName>
    <definedName name="solver_rel20" localSheetId="3" hidden="1">1</definedName>
    <definedName name="solver_rel200" localSheetId="4" hidden="1">3</definedName>
    <definedName name="solver_rel200" localSheetId="3" hidden="1">1</definedName>
    <definedName name="solver_rel201" localSheetId="4" hidden="1">3</definedName>
    <definedName name="solver_rel201" localSheetId="3" hidden="1">3</definedName>
    <definedName name="solver_rel202" localSheetId="4" hidden="1">3</definedName>
    <definedName name="solver_rel202" localSheetId="3" hidden="1">1</definedName>
    <definedName name="solver_rel203" localSheetId="4" hidden="1">3</definedName>
    <definedName name="solver_rel203" localSheetId="3" hidden="1">3</definedName>
    <definedName name="solver_rel204" localSheetId="4" hidden="1">3</definedName>
    <definedName name="solver_rel204" localSheetId="3" hidden="1">1</definedName>
    <definedName name="solver_rel205" localSheetId="4" hidden="1">3</definedName>
    <definedName name="solver_rel205" localSheetId="3" hidden="1">3</definedName>
    <definedName name="solver_rel206" localSheetId="4" hidden="1">3</definedName>
    <definedName name="solver_rel206" localSheetId="3" hidden="1">1</definedName>
    <definedName name="solver_rel207" localSheetId="4" hidden="1">3</definedName>
    <definedName name="solver_rel207" localSheetId="3" hidden="1">3</definedName>
    <definedName name="solver_rel208" localSheetId="4" hidden="1">3</definedName>
    <definedName name="solver_rel208" localSheetId="3" hidden="1">1</definedName>
    <definedName name="solver_rel209" localSheetId="4" hidden="1">3</definedName>
    <definedName name="solver_rel209" localSheetId="3" hidden="1">3</definedName>
    <definedName name="solver_rel21" localSheetId="4" hidden="1">3</definedName>
    <definedName name="solver_rel21" localSheetId="3" hidden="1">3</definedName>
    <definedName name="solver_rel210" localSheetId="4" hidden="1">3</definedName>
    <definedName name="solver_rel210" localSheetId="3" hidden="1">1</definedName>
    <definedName name="solver_rel211" localSheetId="4" hidden="1">3</definedName>
    <definedName name="solver_rel211" localSheetId="3" hidden="1">3</definedName>
    <definedName name="solver_rel212" localSheetId="4" hidden="1">3</definedName>
    <definedName name="solver_rel212" localSheetId="3" hidden="1">1</definedName>
    <definedName name="solver_rel213" localSheetId="4" hidden="1">3</definedName>
    <definedName name="solver_rel213" localSheetId="3" hidden="1">3</definedName>
    <definedName name="solver_rel214" localSheetId="4" hidden="1">3</definedName>
    <definedName name="solver_rel214" localSheetId="3" hidden="1">1</definedName>
    <definedName name="solver_rel215" localSheetId="4" hidden="1">3</definedName>
    <definedName name="solver_rel215" localSheetId="3" hidden="1">3</definedName>
    <definedName name="solver_rel216" localSheetId="4" hidden="1">3</definedName>
    <definedName name="solver_rel216" localSheetId="3" hidden="1">1</definedName>
    <definedName name="solver_rel217" localSheetId="4" hidden="1">3</definedName>
    <definedName name="solver_rel217" localSheetId="3" hidden="1">3</definedName>
    <definedName name="solver_rel218" localSheetId="4" hidden="1">3</definedName>
    <definedName name="solver_rel218" localSheetId="3" hidden="1">1</definedName>
    <definedName name="solver_rel219" localSheetId="4" hidden="1">3</definedName>
    <definedName name="solver_rel219" localSheetId="3" hidden="1">3</definedName>
    <definedName name="solver_rel22" localSheetId="4" hidden="1">1</definedName>
    <definedName name="solver_rel22" localSheetId="3" hidden="1">1</definedName>
    <definedName name="solver_rel220" localSheetId="4" hidden="1">3</definedName>
    <definedName name="solver_rel220" localSheetId="3" hidden="1">1</definedName>
    <definedName name="solver_rel221" localSheetId="4" hidden="1">3</definedName>
    <definedName name="solver_rel221" localSheetId="3" hidden="1">3</definedName>
    <definedName name="solver_rel222" localSheetId="4" hidden="1">3</definedName>
    <definedName name="solver_rel222" localSheetId="3" hidden="1">1</definedName>
    <definedName name="solver_rel223" localSheetId="4" hidden="1">1</definedName>
    <definedName name="solver_rel223" localSheetId="3" hidden="1">3</definedName>
    <definedName name="solver_rel224" localSheetId="4" hidden="1">3</definedName>
    <definedName name="solver_rel224" localSheetId="3" hidden="1">1</definedName>
    <definedName name="solver_rel225" localSheetId="4" hidden="1">3</definedName>
    <definedName name="solver_rel225" localSheetId="3" hidden="1">3</definedName>
    <definedName name="solver_rel226" localSheetId="4" hidden="1">3</definedName>
    <definedName name="solver_rel226" localSheetId="3" hidden="1">1</definedName>
    <definedName name="solver_rel227" localSheetId="4" hidden="1">3</definedName>
    <definedName name="solver_rel227" localSheetId="3" hidden="1">3</definedName>
    <definedName name="solver_rel228" localSheetId="4" hidden="1">3</definedName>
    <definedName name="solver_rel228" localSheetId="3" hidden="1">1</definedName>
    <definedName name="solver_rel229" localSheetId="4" hidden="1">3</definedName>
    <definedName name="solver_rel229" localSheetId="3" hidden="1">3</definedName>
    <definedName name="solver_rel23" localSheetId="4" hidden="1">3</definedName>
    <definedName name="solver_rel23" localSheetId="3" hidden="1">3</definedName>
    <definedName name="solver_rel230" localSheetId="4" hidden="1">3</definedName>
    <definedName name="solver_rel230" localSheetId="3" hidden="1">1</definedName>
    <definedName name="solver_rel231" localSheetId="4" hidden="1">3</definedName>
    <definedName name="solver_rel231" localSheetId="3" hidden="1">3</definedName>
    <definedName name="solver_rel232" localSheetId="4" hidden="1">3</definedName>
    <definedName name="solver_rel232" localSheetId="3" hidden="1">1</definedName>
    <definedName name="solver_rel233" localSheetId="4" hidden="1">3</definedName>
    <definedName name="solver_rel233" localSheetId="3" hidden="1">3</definedName>
    <definedName name="solver_rel234" localSheetId="4" hidden="1">3</definedName>
    <definedName name="solver_rel234" localSheetId="3" hidden="1">1</definedName>
    <definedName name="solver_rel235" localSheetId="4" hidden="1">3</definedName>
    <definedName name="solver_rel235" localSheetId="3" hidden="1">3</definedName>
    <definedName name="solver_rel236" localSheetId="4" hidden="1">3</definedName>
    <definedName name="solver_rel236" localSheetId="3" hidden="1">1</definedName>
    <definedName name="solver_rel237" localSheetId="4" hidden="1">3</definedName>
    <definedName name="solver_rel237" localSheetId="3" hidden="1">3</definedName>
    <definedName name="solver_rel238" localSheetId="4" hidden="1">3</definedName>
    <definedName name="solver_rel238" localSheetId="3" hidden="1">1</definedName>
    <definedName name="solver_rel239" localSheetId="3" hidden="1">3</definedName>
    <definedName name="solver_rel24" localSheetId="4" hidden="1">1</definedName>
    <definedName name="solver_rel24" localSheetId="3" hidden="1">1</definedName>
    <definedName name="solver_rel240" localSheetId="3" hidden="1">1</definedName>
    <definedName name="solver_rel241" localSheetId="3" hidden="1">3</definedName>
    <definedName name="solver_rel242" localSheetId="3" hidden="1">1</definedName>
    <definedName name="solver_rel243" localSheetId="3" hidden="1">3</definedName>
    <definedName name="solver_rel244" localSheetId="3" hidden="1">1</definedName>
    <definedName name="solver_rel245" localSheetId="3" hidden="1">3</definedName>
    <definedName name="solver_rel246" localSheetId="3" hidden="1">1</definedName>
    <definedName name="solver_rel247" localSheetId="3" hidden="1">3</definedName>
    <definedName name="solver_rel248" localSheetId="3" hidden="1">1</definedName>
    <definedName name="solver_rel249" localSheetId="3" hidden="1">3</definedName>
    <definedName name="solver_rel25" localSheetId="4" hidden="1">3</definedName>
    <definedName name="solver_rel25" localSheetId="3" hidden="1">3</definedName>
    <definedName name="solver_rel250" localSheetId="3" hidden="1">1</definedName>
    <definedName name="solver_rel251" localSheetId="3" hidden="1">3</definedName>
    <definedName name="solver_rel252" localSheetId="3" hidden="1">1</definedName>
    <definedName name="solver_rel253" localSheetId="3" hidden="1">3</definedName>
    <definedName name="solver_rel254" localSheetId="3" hidden="1">1</definedName>
    <definedName name="solver_rel255" localSheetId="3" hidden="1">3</definedName>
    <definedName name="solver_rel256" localSheetId="3" hidden="1">1</definedName>
    <definedName name="solver_rel257" localSheetId="3" hidden="1">3</definedName>
    <definedName name="solver_rel258" localSheetId="3" hidden="1">1</definedName>
    <definedName name="solver_rel259" localSheetId="3" hidden="1">3</definedName>
    <definedName name="solver_rel26" localSheetId="4" hidden="1">1</definedName>
    <definedName name="solver_rel26" localSheetId="3" hidden="1">1</definedName>
    <definedName name="solver_rel260" localSheetId="3" hidden="1">1</definedName>
    <definedName name="solver_rel261" localSheetId="3" hidden="1">3</definedName>
    <definedName name="solver_rel262" localSheetId="3" hidden="1">1</definedName>
    <definedName name="solver_rel263" localSheetId="3" hidden="1">3</definedName>
    <definedName name="solver_rel264" localSheetId="3" hidden="1">1</definedName>
    <definedName name="solver_rel265" localSheetId="3" hidden="1">3</definedName>
    <definedName name="solver_rel266" localSheetId="3" hidden="1">1</definedName>
    <definedName name="solver_rel267" localSheetId="3" hidden="1">3</definedName>
    <definedName name="solver_rel268" localSheetId="3" hidden="1">1</definedName>
    <definedName name="solver_rel269" localSheetId="3" hidden="1">3</definedName>
    <definedName name="solver_rel27" localSheetId="4" hidden="1">3</definedName>
    <definedName name="solver_rel27" localSheetId="3" hidden="1">3</definedName>
    <definedName name="solver_rel270" localSheetId="3" hidden="1">1</definedName>
    <definedName name="solver_rel271" localSheetId="3" hidden="1">3</definedName>
    <definedName name="solver_rel272" localSheetId="3" hidden="1">1</definedName>
    <definedName name="solver_rel273" localSheetId="3" hidden="1">3</definedName>
    <definedName name="solver_rel274" localSheetId="3" hidden="1">1</definedName>
    <definedName name="solver_rel28" localSheetId="4" hidden="1">1</definedName>
    <definedName name="solver_rel28" localSheetId="3" hidden="1">1</definedName>
    <definedName name="solver_rel29" localSheetId="4" hidden="1">3</definedName>
    <definedName name="solver_rel29" localSheetId="3" hidden="1">3</definedName>
    <definedName name="solver_rel3" localSheetId="4" hidden="1">3</definedName>
    <definedName name="solver_rel3" localSheetId="3" hidden="1">3</definedName>
    <definedName name="solver_rel30" localSheetId="4" hidden="1">1</definedName>
    <definedName name="solver_rel30" localSheetId="3" hidden="1">1</definedName>
    <definedName name="solver_rel31" localSheetId="4" hidden="1">3</definedName>
    <definedName name="solver_rel31" localSheetId="3" hidden="1">3</definedName>
    <definedName name="solver_rel32" localSheetId="4" hidden="1">1</definedName>
    <definedName name="solver_rel32" localSheetId="3" hidden="1">1</definedName>
    <definedName name="solver_rel33" localSheetId="4" hidden="1">3</definedName>
    <definedName name="solver_rel33" localSheetId="3" hidden="1">3</definedName>
    <definedName name="solver_rel34" localSheetId="4" hidden="1">1</definedName>
    <definedName name="solver_rel34" localSheetId="3" hidden="1">1</definedName>
    <definedName name="solver_rel35" localSheetId="4" hidden="1">3</definedName>
    <definedName name="solver_rel35" localSheetId="3" hidden="1">3</definedName>
    <definedName name="solver_rel36" localSheetId="4" hidden="1">1</definedName>
    <definedName name="solver_rel36" localSheetId="3" hidden="1">1</definedName>
    <definedName name="solver_rel37" localSheetId="4" hidden="1">3</definedName>
    <definedName name="solver_rel37" localSheetId="3" hidden="1">3</definedName>
    <definedName name="solver_rel38" localSheetId="4" hidden="1">1</definedName>
    <definedName name="solver_rel38" localSheetId="3" hidden="1">1</definedName>
    <definedName name="solver_rel39" localSheetId="4" hidden="1">3</definedName>
    <definedName name="solver_rel39" localSheetId="3" hidden="1">3</definedName>
    <definedName name="solver_rel4" localSheetId="4" hidden="1">1</definedName>
    <definedName name="solver_rel4" localSheetId="3" hidden="1">1</definedName>
    <definedName name="solver_rel40" localSheetId="4" hidden="1">1</definedName>
    <definedName name="solver_rel40" localSheetId="3" hidden="1">1</definedName>
    <definedName name="solver_rel41" localSheetId="4" hidden="1">3</definedName>
    <definedName name="solver_rel41" localSheetId="3" hidden="1">3</definedName>
    <definedName name="solver_rel42" localSheetId="4" hidden="1">1</definedName>
    <definedName name="solver_rel42" localSheetId="3" hidden="1">1</definedName>
    <definedName name="solver_rel43" localSheetId="4" hidden="1">3</definedName>
    <definedName name="solver_rel43" localSheetId="3" hidden="1">3</definedName>
    <definedName name="solver_rel44" localSheetId="4" hidden="1">1</definedName>
    <definedName name="solver_rel44" localSheetId="3" hidden="1">1</definedName>
    <definedName name="solver_rel45" localSheetId="4" hidden="1">3</definedName>
    <definedName name="solver_rel45" localSheetId="3" hidden="1">3</definedName>
    <definedName name="solver_rel46" localSheetId="4" hidden="1">1</definedName>
    <definedName name="solver_rel46" localSheetId="3" hidden="1">1</definedName>
    <definedName name="solver_rel47" localSheetId="4" hidden="1">3</definedName>
    <definedName name="solver_rel47" localSheetId="3" hidden="1">3</definedName>
    <definedName name="solver_rel48" localSheetId="4" hidden="1">1</definedName>
    <definedName name="solver_rel48" localSheetId="3" hidden="1">1</definedName>
    <definedName name="solver_rel49" localSheetId="4" hidden="1">3</definedName>
    <definedName name="solver_rel49" localSheetId="3" hidden="1">3</definedName>
    <definedName name="solver_rel5" localSheetId="4" hidden="1">3</definedName>
    <definedName name="solver_rel5" localSheetId="3" hidden="1">3</definedName>
    <definedName name="solver_rel50" localSheetId="4" hidden="1">1</definedName>
    <definedName name="solver_rel50" localSheetId="3" hidden="1">1</definedName>
    <definedName name="solver_rel51" localSheetId="4" hidden="1">3</definedName>
    <definedName name="solver_rel51" localSheetId="3" hidden="1">3</definedName>
    <definedName name="solver_rel52" localSheetId="4" hidden="1">1</definedName>
    <definedName name="solver_rel52" localSheetId="3" hidden="1">1</definedName>
    <definedName name="solver_rel53" localSheetId="4" hidden="1">3</definedName>
    <definedName name="solver_rel53" localSheetId="3" hidden="1">3</definedName>
    <definedName name="solver_rel54" localSheetId="4" hidden="1">1</definedName>
    <definedName name="solver_rel54" localSheetId="3" hidden="1">1</definedName>
    <definedName name="solver_rel55" localSheetId="4" hidden="1">3</definedName>
    <definedName name="solver_rel55" localSheetId="3" hidden="1">3</definedName>
    <definedName name="solver_rel56" localSheetId="4" hidden="1">1</definedName>
    <definedName name="solver_rel56" localSheetId="3" hidden="1">1</definedName>
    <definedName name="solver_rel57" localSheetId="4" hidden="1">3</definedName>
    <definedName name="solver_rel57" localSheetId="3" hidden="1">3</definedName>
    <definedName name="solver_rel58" localSheetId="4" hidden="1">1</definedName>
    <definedName name="solver_rel58" localSheetId="3" hidden="1">1</definedName>
    <definedName name="solver_rel59" localSheetId="4" hidden="1">3</definedName>
    <definedName name="solver_rel59" localSheetId="3" hidden="1">3</definedName>
    <definedName name="solver_rel6" localSheetId="4" hidden="1">1</definedName>
    <definedName name="solver_rel6" localSheetId="3" hidden="1">1</definedName>
    <definedName name="solver_rel60" localSheetId="4" hidden="1">1</definedName>
    <definedName name="solver_rel60" localSheetId="3" hidden="1">1</definedName>
    <definedName name="solver_rel61" localSheetId="4" hidden="1">3</definedName>
    <definedName name="solver_rel61" localSheetId="3" hidden="1">3</definedName>
    <definedName name="solver_rel62" localSheetId="4" hidden="1">1</definedName>
    <definedName name="solver_rel62" localSheetId="3" hidden="1">1</definedName>
    <definedName name="solver_rel63" localSheetId="4" hidden="1">3</definedName>
    <definedName name="solver_rel63" localSheetId="3" hidden="1">3</definedName>
    <definedName name="solver_rel64" localSheetId="4" hidden="1">1</definedName>
    <definedName name="solver_rel64" localSheetId="3" hidden="1">1</definedName>
    <definedName name="solver_rel65" localSheetId="4" hidden="1">3</definedName>
    <definedName name="solver_rel65" localSheetId="3" hidden="1">3</definedName>
    <definedName name="solver_rel66" localSheetId="4" hidden="1">1</definedName>
    <definedName name="solver_rel66" localSheetId="3" hidden="1">1</definedName>
    <definedName name="solver_rel67" localSheetId="4" hidden="1">3</definedName>
    <definedName name="solver_rel67" localSheetId="3" hidden="1">3</definedName>
    <definedName name="solver_rel68" localSheetId="4" hidden="1">1</definedName>
    <definedName name="solver_rel68" localSheetId="3" hidden="1">1</definedName>
    <definedName name="solver_rel69" localSheetId="4" hidden="1">3</definedName>
    <definedName name="solver_rel69" localSheetId="3" hidden="1">3</definedName>
    <definedName name="solver_rel7" localSheetId="4" hidden="1">3</definedName>
    <definedName name="solver_rel7" localSheetId="3" hidden="1">3</definedName>
    <definedName name="solver_rel70" localSheetId="4" hidden="1">1</definedName>
    <definedName name="solver_rel70" localSheetId="3" hidden="1">1</definedName>
    <definedName name="solver_rel71" localSheetId="4" hidden="1">3</definedName>
    <definedName name="solver_rel71" localSheetId="3" hidden="1">3</definedName>
    <definedName name="solver_rel72" localSheetId="4" hidden="1">1</definedName>
    <definedName name="solver_rel72" localSheetId="3" hidden="1">1</definedName>
    <definedName name="solver_rel73" localSheetId="4" hidden="1">3</definedName>
    <definedName name="solver_rel73" localSheetId="3" hidden="1">3</definedName>
    <definedName name="solver_rel74" localSheetId="4" hidden="1">1</definedName>
    <definedName name="solver_rel74" localSheetId="3" hidden="1">1</definedName>
    <definedName name="solver_rel75" localSheetId="4" hidden="1">3</definedName>
    <definedName name="solver_rel75" localSheetId="3" hidden="1">3</definedName>
    <definedName name="solver_rel76" localSheetId="4" hidden="1">1</definedName>
    <definedName name="solver_rel76" localSheetId="3" hidden="1">1</definedName>
    <definedName name="solver_rel77" localSheetId="4" hidden="1">3</definedName>
    <definedName name="solver_rel77" localSheetId="3" hidden="1">3</definedName>
    <definedName name="solver_rel78" localSheetId="4" hidden="1">1</definedName>
    <definedName name="solver_rel78" localSheetId="3" hidden="1">1</definedName>
    <definedName name="solver_rel79" localSheetId="4" hidden="1">3</definedName>
    <definedName name="solver_rel79" localSheetId="3" hidden="1">3</definedName>
    <definedName name="solver_rel8" localSheetId="4" hidden="1">1</definedName>
    <definedName name="solver_rel8" localSheetId="3" hidden="1">1</definedName>
    <definedName name="solver_rel80" localSheetId="4" hidden="1">1</definedName>
    <definedName name="solver_rel80" localSheetId="3" hidden="1">1</definedName>
    <definedName name="solver_rel81" localSheetId="4" hidden="1">3</definedName>
    <definedName name="solver_rel81" localSheetId="3" hidden="1">3</definedName>
    <definedName name="solver_rel82" localSheetId="4" hidden="1">1</definedName>
    <definedName name="solver_rel82" localSheetId="3" hidden="1">1</definedName>
    <definedName name="solver_rel83" localSheetId="4" hidden="1">3</definedName>
    <definedName name="solver_rel83" localSheetId="3" hidden="1">3</definedName>
    <definedName name="solver_rel84" localSheetId="4" hidden="1">1</definedName>
    <definedName name="solver_rel84" localSheetId="3" hidden="1">1</definedName>
    <definedName name="solver_rel85" localSheetId="4" hidden="1">3</definedName>
    <definedName name="solver_rel85" localSheetId="3" hidden="1">3</definedName>
    <definedName name="solver_rel86" localSheetId="4" hidden="1">1</definedName>
    <definedName name="solver_rel86" localSheetId="3" hidden="1">1</definedName>
    <definedName name="solver_rel87" localSheetId="4" hidden="1">3</definedName>
    <definedName name="solver_rel87" localSheetId="3" hidden="1">3</definedName>
    <definedName name="solver_rel88" localSheetId="4" hidden="1">1</definedName>
    <definedName name="solver_rel88" localSheetId="3" hidden="1">1</definedName>
    <definedName name="solver_rel89" localSheetId="4" hidden="1">3</definedName>
    <definedName name="solver_rel89" localSheetId="3" hidden="1">3</definedName>
    <definedName name="solver_rel9" localSheetId="4" hidden="1">3</definedName>
    <definedName name="solver_rel9" localSheetId="3" hidden="1">3</definedName>
    <definedName name="solver_rel90" localSheetId="4" hidden="1">1</definedName>
    <definedName name="solver_rel90" localSheetId="3" hidden="1">1</definedName>
    <definedName name="solver_rel91" localSheetId="4" hidden="1">3</definedName>
    <definedName name="solver_rel91" localSheetId="3" hidden="1">3</definedName>
    <definedName name="solver_rel92" localSheetId="4" hidden="1">1</definedName>
    <definedName name="solver_rel92" localSheetId="3" hidden="1">1</definedName>
    <definedName name="solver_rel93" localSheetId="4" hidden="1">3</definedName>
    <definedName name="solver_rel93" localSheetId="3" hidden="1">3</definedName>
    <definedName name="solver_rel94" localSheetId="4" hidden="1">1</definedName>
    <definedName name="solver_rel94" localSheetId="3" hidden="1">1</definedName>
    <definedName name="solver_rel95" localSheetId="4" hidden="1">3</definedName>
    <definedName name="solver_rel95" localSheetId="3" hidden="1">3</definedName>
    <definedName name="solver_rel96" localSheetId="4" hidden="1">1</definedName>
    <definedName name="solver_rel96" localSheetId="3" hidden="1">1</definedName>
    <definedName name="solver_rel97" localSheetId="4" hidden="1">3</definedName>
    <definedName name="solver_rel97" localSheetId="3" hidden="1">3</definedName>
    <definedName name="solver_rel98" localSheetId="4" hidden="1">1</definedName>
    <definedName name="solver_rel98" localSheetId="3" hidden="1">1</definedName>
    <definedName name="solver_rel99" localSheetId="4" hidden="1">3</definedName>
    <definedName name="solver_rel99" localSheetId="3" hidden="1">3</definedName>
    <definedName name="solver_rhs1" localSheetId="4" hidden="1">0</definedName>
    <definedName name="solver_rhs1" localSheetId="3" hidden="1">1</definedName>
    <definedName name="solver_rhs10" localSheetId="4" hidden="1">1</definedName>
    <definedName name="solver_rhs10" localSheetId="3" hidden="1">1</definedName>
    <definedName name="solver_rhs100" localSheetId="4" hidden="1">1</definedName>
    <definedName name="solver_rhs100" localSheetId="3" hidden="1">1</definedName>
    <definedName name="solver_rhs101" localSheetId="4" hidden="1">0</definedName>
    <definedName name="solver_rhs101" localSheetId="3" hidden="1">0</definedName>
    <definedName name="solver_rhs102" localSheetId="4" hidden="1">1</definedName>
    <definedName name="solver_rhs102" localSheetId="3" hidden="1">1</definedName>
    <definedName name="solver_rhs103" localSheetId="4" hidden="1">0</definedName>
    <definedName name="solver_rhs103" localSheetId="3" hidden="1">0</definedName>
    <definedName name="solver_rhs104" localSheetId="4" hidden="1">1</definedName>
    <definedName name="solver_rhs104" localSheetId="3" hidden="1">1</definedName>
    <definedName name="solver_rhs105" localSheetId="4" hidden="1">0</definedName>
    <definedName name="solver_rhs105" localSheetId="3" hidden="1">0</definedName>
    <definedName name="solver_rhs106" localSheetId="4" hidden="1">1</definedName>
    <definedName name="solver_rhs106" localSheetId="3" hidden="1">1</definedName>
    <definedName name="solver_rhs107" localSheetId="4" hidden="1">0</definedName>
    <definedName name="solver_rhs107" localSheetId="3" hidden="1">0</definedName>
    <definedName name="solver_rhs108" localSheetId="4" hidden="1">1</definedName>
    <definedName name="solver_rhs108" localSheetId="3" hidden="1">1</definedName>
    <definedName name="solver_rhs109" localSheetId="4" hidden="1">0</definedName>
    <definedName name="solver_rhs109" localSheetId="3" hidden="1">0</definedName>
    <definedName name="solver_rhs11" localSheetId="4" hidden="1">0</definedName>
    <definedName name="solver_rhs11" localSheetId="3" hidden="1">0</definedName>
    <definedName name="solver_rhs110" localSheetId="4" hidden="1">1</definedName>
    <definedName name="solver_rhs110" localSheetId="3" hidden="1">1</definedName>
    <definedName name="solver_rhs111" localSheetId="4" hidden="1">0</definedName>
    <definedName name="solver_rhs111" localSheetId="3" hidden="1">0</definedName>
    <definedName name="solver_rhs112" localSheetId="4" hidden="1">1</definedName>
    <definedName name="solver_rhs112" localSheetId="3" hidden="1">1</definedName>
    <definedName name="solver_rhs113" localSheetId="4" hidden="1">0</definedName>
    <definedName name="solver_rhs113" localSheetId="3" hidden="1">0</definedName>
    <definedName name="solver_rhs114" localSheetId="4" hidden="1">1</definedName>
    <definedName name="solver_rhs114" localSheetId="3" hidden="1">1</definedName>
    <definedName name="solver_rhs115" localSheetId="4" hidden="1">0</definedName>
    <definedName name="solver_rhs115" localSheetId="3" hidden="1">0</definedName>
    <definedName name="solver_rhs116" localSheetId="4" hidden="1">1</definedName>
    <definedName name="solver_rhs116" localSheetId="3" hidden="1">1</definedName>
    <definedName name="solver_rhs117" localSheetId="4" hidden="1">0</definedName>
    <definedName name="solver_rhs117" localSheetId="3" hidden="1">0</definedName>
    <definedName name="solver_rhs118" localSheetId="4" hidden="1">1</definedName>
    <definedName name="solver_rhs118" localSheetId="3" hidden="1">1</definedName>
    <definedName name="solver_rhs119" localSheetId="4" hidden="1">0</definedName>
    <definedName name="solver_rhs119" localSheetId="3" hidden="1">0</definedName>
    <definedName name="solver_rhs12" localSheetId="4" hidden="1">1</definedName>
    <definedName name="solver_rhs12" localSheetId="3" hidden="1">1</definedName>
    <definedName name="solver_rhs120" localSheetId="4" hidden="1">1</definedName>
    <definedName name="solver_rhs120" localSheetId="3" hidden="1">1</definedName>
    <definedName name="solver_rhs121" localSheetId="4" hidden="1">0</definedName>
    <definedName name="solver_rhs121" localSheetId="3" hidden="1">0</definedName>
    <definedName name="solver_rhs122" localSheetId="4" hidden="1">1</definedName>
    <definedName name="solver_rhs122" localSheetId="3" hidden="1">1</definedName>
    <definedName name="solver_rhs123" localSheetId="4" hidden="1">0</definedName>
    <definedName name="solver_rhs123" localSheetId="3" hidden="1">0</definedName>
    <definedName name="solver_rhs124" localSheetId="4" hidden="1">1</definedName>
    <definedName name="solver_rhs124" localSheetId="3" hidden="1">1</definedName>
    <definedName name="solver_rhs125" localSheetId="4" hidden="1">0</definedName>
    <definedName name="solver_rhs125" localSheetId="3" hidden="1">0</definedName>
    <definedName name="solver_rhs126" localSheetId="4" hidden="1">1</definedName>
    <definedName name="solver_rhs126" localSheetId="3" hidden="1">1</definedName>
    <definedName name="solver_rhs127" localSheetId="4" hidden="1">0</definedName>
    <definedName name="solver_rhs127" localSheetId="3" hidden="1">0</definedName>
    <definedName name="solver_rhs128" localSheetId="4" hidden="1">1</definedName>
    <definedName name="solver_rhs128" localSheetId="3" hidden="1">1</definedName>
    <definedName name="solver_rhs129" localSheetId="4" hidden="1">0</definedName>
    <definedName name="solver_rhs129" localSheetId="3" hidden="1">0</definedName>
    <definedName name="solver_rhs13" localSheetId="4" hidden="1">0</definedName>
    <definedName name="solver_rhs13" localSheetId="3" hidden="1">0</definedName>
    <definedName name="solver_rhs130" localSheetId="4" hidden="1">1</definedName>
    <definedName name="solver_rhs130" localSheetId="3" hidden="1">1</definedName>
    <definedName name="solver_rhs131" localSheetId="4" hidden="1">0</definedName>
    <definedName name="solver_rhs131" localSheetId="3" hidden="1">0</definedName>
    <definedName name="solver_rhs132" localSheetId="4" hidden="1">1</definedName>
    <definedName name="solver_rhs132" localSheetId="3" hidden="1">1</definedName>
    <definedName name="solver_rhs133" localSheetId="4" hidden="1">0</definedName>
    <definedName name="solver_rhs133" localSheetId="3" hidden="1">0</definedName>
    <definedName name="solver_rhs134" localSheetId="4" hidden="1">1</definedName>
    <definedName name="solver_rhs134" localSheetId="3" hidden="1">1</definedName>
    <definedName name="solver_rhs135" localSheetId="4" hidden="1">0</definedName>
    <definedName name="solver_rhs135" localSheetId="3" hidden="1">0</definedName>
    <definedName name="solver_rhs136" localSheetId="4" hidden="1">1</definedName>
    <definedName name="solver_rhs136" localSheetId="3" hidden="1">1</definedName>
    <definedName name="solver_rhs137" localSheetId="4" hidden="1">0</definedName>
    <definedName name="solver_rhs137" localSheetId="3" hidden="1">0</definedName>
    <definedName name="solver_rhs138" localSheetId="4" hidden="1">1</definedName>
    <definedName name="solver_rhs138" localSheetId="3" hidden="1">1</definedName>
    <definedName name="solver_rhs139" localSheetId="4" hidden="1">0</definedName>
    <definedName name="solver_rhs139" localSheetId="3" hidden="1">0</definedName>
    <definedName name="solver_rhs14" localSheetId="4" hidden="1">1</definedName>
    <definedName name="solver_rhs14" localSheetId="3" hidden="1">1</definedName>
    <definedName name="solver_rhs140" localSheetId="4" hidden="1">1</definedName>
    <definedName name="solver_rhs140" localSheetId="3" hidden="1">1</definedName>
    <definedName name="solver_rhs141" localSheetId="4" hidden="1">0</definedName>
    <definedName name="solver_rhs141" localSheetId="3" hidden="1">0</definedName>
    <definedName name="solver_rhs142" localSheetId="4" hidden="1">1</definedName>
    <definedName name="solver_rhs142" localSheetId="3" hidden="1">1</definedName>
    <definedName name="solver_rhs143" localSheetId="4" hidden="1">0</definedName>
    <definedName name="solver_rhs143" localSheetId="3" hidden="1">0</definedName>
    <definedName name="solver_rhs144" localSheetId="4" hidden="1">1</definedName>
    <definedName name="solver_rhs144" localSheetId="3" hidden="1">1</definedName>
    <definedName name="solver_rhs145" localSheetId="4" hidden="1">0</definedName>
    <definedName name="solver_rhs145" localSheetId="3" hidden="1">0</definedName>
    <definedName name="solver_rhs146" localSheetId="4" hidden="1">1</definedName>
    <definedName name="solver_rhs146" localSheetId="3" hidden="1">1</definedName>
    <definedName name="solver_rhs147" localSheetId="4" hidden="1">0</definedName>
    <definedName name="solver_rhs147" localSheetId="3" hidden="1">0</definedName>
    <definedName name="solver_rhs148" localSheetId="4" hidden="1">1</definedName>
    <definedName name="solver_rhs148" localSheetId="3" hidden="1">1</definedName>
    <definedName name="solver_rhs149" localSheetId="4" hidden="1">0</definedName>
    <definedName name="solver_rhs149" localSheetId="3" hidden="1">0</definedName>
    <definedName name="solver_rhs15" localSheetId="4" hidden="1">0</definedName>
    <definedName name="solver_rhs15" localSheetId="3" hidden="1">0</definedName>
    <definedName name="solver_rhs150" localSheetId="4" hidden="1">1</definedName>
    <definedName name="solver_rhs150" localSheetId="3" hidden="1">1</definedName>
    <definedName name="solver_rhs151" localSheetId="4" hidden="1">0</definedName>
    <definedName name="solver_rhs151" localSheetId="3" hidden="1">0</definedName>
    <definedName name="solver_rhs152" localSheetId="4" hidden="1">1</definedName>
    <definedName name="solver_rhs152" localSheetId="3" hidden="1">1</definedName>
    <definedName name="solver_rhs153" localSheetId="4" hidden="1">0</definedName>
    <definedName name="solver_rhs153" localSheetId="3" hidden="1">0</definedName>
    <definedName name="solver_rhs154" localSheetId="4" hidden="1">1</definedName>
    <definedName name="solver_rhs154" localSheetId="3" hidden="1">1</definedName>
    <definedName name="solver_rhs155" localSheetId="4" hidden="1">0</definedName>
    <definedName name="solver_rhs155" localSheetId="3" hidden="1">0</definedName>
    <definedName name="solver_rhs156" localSheetId="4" hidden="1">1</definedName>
    <definedName name="solver_rhs156" localSheetId="3" hidden="1">1</definedName>
    <definedName name="solver_rhs157" localSheetId="4" hidden="1">0</definedName>
    <definedName name="solver_rhs157" localSheetId="3" hidden="1">0</definedName>
    <definedName name="solver_rhs158" localSheetId="4" hidden="1">1</definedName>
    <definedName name="solver_rhs158" localSheetId="3" hidden="1">1</definedName>
    <definedName name="solver_rhs159" localSheetId="4" hidden="1">0</definedName>
    <definedName name="solver_rhs159" localSheetId="3" hidden="1">0</definedName>
    <definedName name="solver_rhs16" localSheetId="4" hidden="1">1</definedName>
    <definedName name="solver_rhs16" localSheetId="3" hidden="1">1</definedName>
    <definedName name="solver_rhs160" localSheetId="4" hidden="1">1</definedName>
    <definedName name="solver_rhs160" localSheetId="3" hidden="1">1</definedName>
    <definedName name="solver_rhs161" localSheetId="4" hidden="1">0</definedName>
    <definedName name="solver_rhs161" localSheetId="3" hidden="1">0</definedName>
    <definedName name="solver_rhs162" localSheetId="4" hidden="1">0</definedName>
    <definedName name="solver_rhs162" localSheetId="3" hidden="1">1</definedName>
    <definedName name="solver_rhs163" localSheetId="4" hidden="1">1</definedName>
    <definedName name="solver_rhs163" localSheetId="3" hidden="1">0</definedName>
    <definedName name="solver_rhs164" localSheetId="4" hidden="1">0</definedName>
    <definedName name="solver_rhs164" localSheetId="3" hidden="1">1</definedName>
    <definedName name="solver_rhs165" localSheetId="4" hidden="1">0</definedName>
    <definedName name="solver_rhs165" localSheetId="3" hidden="1">0</definedName>
    <definedName name="solver_rhs166" localSheetId="4" hidden="1">0</definedName>
    <definedName name="solver_rhs166" localSheetId="3" hidden="1">1</definedName>
    <definedName name="solver_rhs167" localSheetId="4" hidden="1">0</definedName>
    <definedName name="solver_rhs167" localSheetId="3" hidden="1">0</definedName>
    <definedName name="solver_rhs168" localSheetId="4" hidden="1">0</definedName>
    <definedName name="solver_rhs168" localSheetId="3" hidden="1">1</definedName>
    <definedName name="solver_rhs169" localSheetId="4" hidden="1">0</definedName>
    <definedName name="solver_rhs169" localSheetId="3" hidden="1">0</definedName>
    <definedName name="solver_rhs17" localSheetId="4" hidden="1">0</definedName>
    <definedName name="solver_rhs17" localSheetId="3" hidden="1">0</definedName>
    <definedName name="solver_rhs170" localSheetId="4" hidden="1">0</definedName>
    <definedName name="solver_rhs170" localSheetId="3" hidden="1">1</definedName>
    <definedName name="solver_rhs171" localSheetId="4" hidden="1">0</definedName>
    <definedName name="solver_rhs171" localSheetId="3" hidden="1">0</definedName>
    <definedName name="solver_rhs172" localSheetId="4" hidden="1">0</definedName>
    <definedName name="solver_rhs172" localSheetId="3" hidden="1">1</definedName>
    <definedName name="solver_rhs173" localSheetId="4" hidden="1">0</definedName>
    <definedName name="solver_rhs173" localSheetId="3" hidden="1">0</definedName>
    <definedName name="solver_rhs174" localSheetId="4" hidden="1">0</definedName>
    <definedName name="solver_rhs174" localSheetId="3" hidden="1">1</definedName>
    <definedName name="solver_rhs175" localSheetId="4" hidden="1">0</definedName>
    <definedName name="solver_rhs175" localSheetId="3" hidden="1">0</definedName>
    <definedName name="solver_rhs176" localSheetId="4" hidden="1">0</definedName>
    <definedName name="solver_rhs176" localSheetId="3" hidden="1">1</definedName>
    <definedName name="solver_rhs177" localSheetId="4" hidden="1">0</definedName>
    <definedName name="solver_rhs177" localSheetId="3" hidden="1">0</definedName>
    <definedName name="solver_rhs178" localSheetId="4" hidden="1">1</definedName>
    <definedName name="solver_rhs178" localSheetId="3" hidden="1">1</definedName>
    <definedName name="solver_rhs179" localSheetId="4" hidden="1">0</definedName>
    <definedName name="solver_rhs179" localSheetId="3" hidden="1">0</definedName>
    <definedName name="solver_rhs18" localSheetId="4" hidden="1">1</definedName>
    <definedName name="solver_rhs18" localSheetId="3" hidden="1">1</definedName>
    <definedName name="solver_rhs180" localSheetId="4" hidden="1">0</definedName>
    <definedName name="solver_rhs180" localSheetId="3" hidden="1">1</definedName>
    <definedName name="solver_rhs181" localSheetId="4" hidden="1">0</definedName>
    <definedName name="solver_rhs181" localSheetId="3" hidden="1">0</definedName>
    <definedName name="solver_rhs182" localSheetId="4" hidden="1">0</definedName>
    <definedName name="solver_rhs182" localSheetId="3" hidden="1">1</definedName>
    <definedName name="solver_rhs183" localSheetId="4" hidden="1">0</definedName>
    <definedName name="solver_rhs183" localSheetId="3" hidden="1">0</definedName>
    <definedName name="solver_rhs184" localSheetId="4" hidden="1">0</definedName>
    <definedName name="solver_rhs184" localSheetId="3" hidden="1">1</definedName>
    <definedName name="solver_rhs185" localSheetId="4" hidden="1">0</definedName>
    <definedName name="solver_rhs185" localSheetId="3" hidden="1">0</definedName>
    <definedName name="solver_rhs186" localSheetId="4" hidden="1">0</definedName>
    <definedName name="solver_rhs186" localSheetId="3" hidden="1">1</definedName>
    <definedName name="solver_rhs187" localSheetId="4" hidden="1">0</definedName>
    <definedName name="solver_rhs187" localSheetId="3" hidden="1">0</definedName>
    <definedName name="solver_rhs188" localSheetId="4" hidden="1">0</definedName>
    <definedName name="solver_rhs188" localSheetId="3" hidden="1">1</definedName>
    <definedName name="solver_rhs189" localSheetId="4" hidden="1">0</definedName>
    <definedName name="solver_rhs189" localSheetId="3" hidden="1">0</definedName>
    <definedName name="solver_rhs19" localSheetId="4" hidden="1">0</definedName>
    <definedName name="solver_rhs19" localSheetId="3" hidden="1">0</definedName>
    <definedName name="solver_rhs190" localSheetId="4" hidden="1">0</definedName>
    <definedName name="solver_rhs190" localSheetId="3" hidden="1">1</definedName>
    <definedName name="solver_rhs191" localSheetId="4" hidden="1">0</definedName>
    <definedName name="solver_rhs191" localSheetId="3" hidden="1">0</definedName>
    <definedName name="solver_rhs192" localSheetId="4" hidden="1">0</definedName>
    <definedName name="solver_rhs192" localSheetId="3" hidden="1">1</definedName>
    <definedName name="solver_rhs193" localSheetId="4" hidden="1">1</definedName>
    <definedName name="solver_rhs193" localSheetId="3" hidden="1">0</definedName>
    <definedName name="solver_rhs194" localSheetId="4" hidden="1">0</definedName>
    <definedName name="solver_rhs194" localSheetId="3" hidden="1">1</definedName>
    <definedName name="solver_rhs195" localSheetId="4" hidden="1">0</definedName>
    <definedName name="solver_rhs195" localSheetId="3" hidden="1">0</definedName>
    <definedName name="solver_rhs196" localSheetId="4" hidden="1">0</definedName>
    <definedName name="solver_rhs196" localSheetId="3" hidden="1">1</definedName>
    <definedName name="solver_rhs197" localSheetId="4" hidden="1">0</definedName>
    <definedName name="solver_rhs197" localSheetId="3" hidden="1">0</definedName>
    <definedName name="solver_rhs198" localSheetId="4" hidden="1">0</definedName>
    <definedName name="solver_rhs198" localSheetId="3" hidden="1">1</definedName>
    <definedName name="solver_rhs199" localSheetId="4" hidden="1">0</definedName>
    <definedName name="solver_rhs199" localSheetId="3" hidden="1">0</definedName>
    <definedName name="solver_rhs2" localSheetId="4" hidden="1">1</definedName>
    <definedName name="solver_rhs2" localSheetId="3" hidden="1">0</definedName>
    <definedName name="solver_rhs20" localSheetId="4" hidden="1">1</definedName>
    <definedName name="solver_rhs20" localSheetId="3" hidden="1">1</definedName>
    <definedName name="solver_rhs200" localSheetId="4" hidden="1">0</definedName>
    <definedName name="solver_rhs200" localSheetId="3" hidden="1">1</definedName>
    <definedName name="solver_rhs201" localSheetId="4" hidden="1">0</definedName>
    <definedName name="solver_rhs201" localSheetId="3" hidden="1">0</definedName>
    <definedName name="solver_rhs202" localSheetId="4" hidden="1">0</definedName>
    <definedName name="solver_rhs202" localSheetId="3" hidden="1">1</definedName>
    <definedName name="solver_rhs203" localSheetId="4" hidden="1">0</definedName>
    <definedName name="solver_rhs203" localSheetId="3" hidden="1">0</definedName>
    <definedName name="solver_rhs204" localSheetId="4" hidden="1">0</definedName>
    <definedName name="solver_rhs204" localSheetId="3" hidden="1">1</definedName>
    <definedName name="solver_rhs205" localSheetId="4" hidden="1">0</definedName>
    <definedName name="solver_rhs205" localSheetId="3" hidden="1">0</definedName>
    <definedName name="solver_rhs206" localSheetId="4" hidden="1">0</definedName>
    <definedName name="solver_rhs206" localSheetId="3" hidden="1">1</definedName>
    <definedName name="solver_rhs207" localSheetId="4" hidden="1">0</definedName>
    <definedName name="solver_rhs207" localSheetId="3" hidden="1">0</definedName>
    <definedName name="solver_rhs208" localSheetId="4" hidden="1">0</definedName>
    <definedName name="solver_rhs208" localSheetId="3" hidden="1">1</definedName>
    <definedName name="solver_rhs209" localSheetId="4" hidden="1">0</definedName>
    <definedName name="solver_rhs209" localSheetId="3" hidden="1">0</definedName>
    <definedName name="solver_rhs21" localSheetId="4" hidden="1">0</definedName>
    <definedName name="solver_rhs21" localSheetId="3" hidden="1">0</definedName>
    <definedName name="solver_rhs210" localSheetId="4" hidden="1">0</definedName>
    <definedName name="solver_rhs210" localSheetId="3" hidden="1">1</definedName>
    <definedName name="solver_rhs211" localSheetId="4" hidden="1">0</definedName>
    <definedName name="solver_rhs211" localSheetId="3" hidden="1">0</definedName>
    <definedName name="solver_rhs212" localSheetId="4" hidden="1">0</definedName>
    <definedName name="solver_rhs212" localSheetId="3" hidden="1">1</definedName>
    <definedName name="solver_rhs213" localSheetId="4" hidden="1">0</definedName>
    <definedName name="solver_rhs213" localSheetId="3" hidden="1">0</definedName>
    <definedName name="solver_rhs214" localSheetId="4" hidden="1">0</definedName>
    <definedName name="solver_rhs214" localSheetId="3" hidden="1">1</definedName>
    <definedName name="solver_rhs215" localSheetId="4" hidden="1">0</definedName>
    <definedName name="solver_rhs215" localSheetId="3" hidden="1">0</definedName>
    <definedName name="solver_rhs216" localSheetId="4" hidden="1">0</definedName>
    <definedName name="solver_rhs216" localSheetId="3" hidden="1">1</definedName>
    <definedName name="solver_rhs217" localSheetId="4" hidden="1">0</definedName>
    <definedName name="solver_rhs217" localSheetId="3" hidden="1">0</definedName>
    <definedName name="solver_rhs218" localSheetId="4" hidden="1">0</definedName>
    <definedName name="solver_rhs218" localSheetId="3" hidden="1">1</definedName>
    <definedName name="solver_rhs219" localSheetId="4" hidden="1">0</definedName>
    <definedName name="solver_rhs219" localSheetId="3" hidden="1">0</definedName>
    <definedName name="solver_rhs22" localSheetId="4" hidden="1">1</definedName>
    <definedName name="solver_rhs22" localSheetId="3" hidden="1">1</definedName>
    <definedName name="solver_rhs220" localSheetId="4" hidden="1">0</definedName>
    <definedName name="solver_rhs220" localSheetId="3" hidden="1">1</definedName>
    <definedName name="solver_rhs221" localSheetId="4" hidden="1">0</definedName>
    <definedName name="solver_rhs221" localSheetId="3" hidden="1">0</definedName>
    <definedName name="solver_rhs222" localSheetId="4" hidden="1">0</definedName>
    <definedName name="solver_rhs222" localSheetId="3" hidden="1">1</definedName>
    <definedName name="solver_rhs223" localSheetId="4" hidden="1">1</definedName>
    <definedName name="solver_rhs223" localSheetId="3" hidden="1">0</definedName>
    <definedName name="solver_rhs224" localSheetId="4" hidden="1">0</definedName>
    <definedName name="solver_rhs224" localSheetId="3" hidden="1">1</definedName>
    <definedName name="solver_rhs225" localSheetId="4" hidden="1">0</definedName>
    <definedName name="solver_rhs225" localSheetId="3" hidden="1">0</definedName>
    <definedName name="solver_rhs226" localSheetId="4" hidden="1">0</definedName>
    <definedName name="solver_rhs226" localSheetId="3" hidden="1">1</definedName>
    <definedName name="solver_rhs227" localSheetId="4" hidden="1">0</definedName>
    <definedName name="solver_rhs227" localSheetId="3" hidden="1">0</definedName>
    <definedName name="solver_rhs228" localSheetId="4" hidden="1">0</definedName>
    <definedName name="solver_rhs228" localSheetId="3" hidden="1">1</definedName>
    <definedName name="solver_rhs229" localSheetId="4" hidden="1">0</definedName>
    <definedName name="solver_rhs229" localSheetId="3" hidden="1">0</definedName>
    <definedName name="solver_rhs23" localSheetId="4" hidden="1">0</definedName>
    <definedName name="solver_rhs23" localSheetId="3" hidden="1">0</definedName>
    <definedName name="solver_rhs230" localSheetId="4" hidden="1">0</definedName>
    <definedName name="solver_rhs230" localSheetId="3" hidden="1">1</definedName>
    <definedName name="solver_rhs231" localSheetId="4" hidden="1">0</definedName>
    <definedName name="solver_rhs231" localSheetId="3" hidden="1">0</definedName>
    <definedName name="solver_rhs232" localSheetId="4" hidden="1">0</definedName>
    <definedName name="solver_rhs232" localSheetId="3" hidden="1">1</definedName>
    <definedName name="solver_rhs233" localSheetId="4" hidden="1">0</definedName>
    <definedName name="solver_rhs233" localSheetId="3" hidden="1">0</definedName>
    <definedName name="solver_rhs234" localSheetId="4" hidden="1">0</definedName>
    <definedName name="solver_rhs234" localSheetId="3" hidden="1">1</definedName>
    <definedName name="solver_rhs235" localSheetId="4" hidden="1">0</definedName>
    <definedName name="solver_rhs235" localSheetId="3" hidden="1">0</definedName>
    <definedName name="solver_rhs236" localSheetId="4" hidden="1">0</definedName>
    <definedName name="solver_rhs236" localSheetId="3" hidden="1">1</definedName>
    <definedName name="solver_rhs237" localSheetId="4" hidden="1">0</definedName>
    <definedName name="solver_rhs237" localSheetId="3" hidden="1">0</definedName>
    <definedName name="solver_rhs238" localSheetId="4" hidden="1">0</definedName>
    <definedName name="solver_rhs238" localSheetId="3" hidden="1">1</definedName>
    <definedName name="solver_rhs239" localSheetId="3" hidden="1">0</definedName>
    <definedName name="solver_rhs24" localSheetId="4" hidden="1">1</definedName>
    <definedName name="solver_rhs24" localSheetId="3" hidden="1">1</definedName>
    <definedName name="solver_rhs240" localSheetId="3" hidden="1">1</definedName>
    <definedName name="solver_rhs241" localSheetId="3" hidden="1">0</definedName>
    <definedName name="solver_rhs242" localSheetId="3" hidden="1">1</definedName>
    <definedName name="solver_rhs243" localSheetId="3" hidden="1">0</definedName>
    <definedName name="solver_rhs244" localSheetId="3" hidden="1">1</definedName>
    <definedName name="solver_rhs245" localSheetId="3" hidden="1">0</definedName>
    <definedName name="solver_rhs246" localSheetId="3" hidden="1">1</definedName>
    <definedName name="solver_rhs247" localSheetId="3" hidden="1">0</definedName>
    <definedName name="solver_rhs248" localSheetId="3" hidden="1">1</definedName>
    <definedName name="solver_rhs249" localSheetId="3" hidden="1">0</definedName>
    <definedName name="solver_rhs25" localSheetId="4" hidden="1">0</definedName>
    <definedName name="solver_rhs25" localSheetId="3" hidden="1">0</definedName>
    <definedName name="solver_rhs250" localSheetId="3" hidden="1">1</definedName>
    <definedName name="solver_rhs251" localSheetId="3" hidden="1">0</definedName>
    <definedName name="solver_rhs252" localSheetId="3" hidden="1">1</definedName>
    <definedName name="solver_rhs253" localSheetId="3" hidden="1">0</definedName>
    <definedName name="solver_rhs254" localSheetId="3" hidden="1">1</definedName>
    <definedName name="solver_rhs255" localSheetId="3" hidden="1">0</definedName>
    <definedName name="solver_rhs256" localSheetId="3" hidden="1">1</definedName>
    <definedName name="solver_rhs257" localSheetId="3" hidden="1">0</definedName>
    <definedName name="solver_rhs258" localSheetId="3" hidden="1">1</definedName>
    <definedName name="solver_rhs259" localSheetId="3" hidden="1">0</definedName>
    <definedName name="solver_rhs26" localSheetId="4" hidden="1">1</definedName>
    <definedName name="solver_rhs26" localSheetId="3" hidden="1">1</definedName>
    <definedName name="solver_rhs260" localSheetId="3" hidden="1">1</definedName>
    <definedName name="solver_rhs261" localSheetId="3" hidden="1">0</definedName>
    <definedName name="solver_rhs262" localSheetId="3" hidden="1">1</definedName>
    <definedName name="solver_rhs263" localSheetId="3" hidden="1">0</definedName>
    <definedName name="solver_rhs264" localSheetId="3" hidden="1">1</definedName>
    <definedName name="solver_rhs265" localSheetId="3" hidden="1">0</definedName>
    <definedName name="solver_rhs266" localSheetId="3" hidden="1">1</definedName>
    <definedName name="solver_rhs267" localSheetId="3" hidden="1">0</definedName>
    <definedName name="solver_rhs268" localSheetId="3" hidden="1">1</definedName>
    <definedName name="solver_rhs269" localSheetId="3" hidden="1">0</definedName>
    <definedName name="solver_rhs27" localSheetId="4" hidden="1">0</definedName>
    <definedName name="solver_rhs27" localSheetId="3" hidden="1">0</definedName>
    <definedName name="solver_rhs270" localSheetId="3" hidden="1">1</definedName>
    <definedName name="solver_rhs271" localSheetId="3" hidden="1">0</definedName>
    <definedName name="solver_rhs272" localSheetId="3" hidden="1">1</definedName>
    <definedName name="solver_rhs273" localSheetId="3" hidden="1">0</definedName>
    <definedName name="solver_rhs274" localSheetId="3" hidden="1">1</definedName>
    <definedName name="solver_rhs28" localSheetId="4" hidden="1">1</definedName>
    <definedName name="solver_rhs28" localSheetId="3" hidden="1">1</definedName>
    <definedName name="solver_rhs29" localSheetId="4" hidden="1">0</definedName>
    <definedName name="solver_rhs29" localSheetId="3" hidden="1">0</definedName>
    <definedName name="solver_rhs3" localSheetId="4" hidden="1">0</definedName>
    <definedName name="solver_rhs3" localSheetId="3" hidden="1">0</definedName>
    <definedName name="solver_rhs30" localSheetId="4" hidden="1">1</definedName>
    <definedName name="solver_rhs30" localSheetId="3" hidden="1">1</definedName>
    <definedName name="solver_rhs31" localSheetId="4" hidden="1">0</definedName>
    <definedName name="solver_rhs31" localSheetId="3" hidden="1">0</definedName>
    <definedName name="solver_rhs32" localSheetId="4" hidden="1">1</definedName>
    <definedName name="solver_rhs32" localSheetId="3" hidden="1">1</definedName>
    <definedName name="solver_rhs33" localSheetId="4" hidden="1">0</definedName>
    <definedName name="solver_rhs33" localSheetId="3" hidden="1">0</definedName>
    <definedName name="solver_rhs34" localSheetId="4" hidden="1">1</definedName>
    <definedName name="solver_rhs34" localSheetId="3" hidden="1">1</definedName>
    <definedName name="solver_rhs35" localSheetId="4" hidden="1">0</definedName>
    <definedName name="solver_rhs35" localSheetId="3" hidden="1">0</definedName>
    <definedName name="solver_rhs36" localSheetId="4" hidden="1">1</definedName>
    <definedName name="solver_rhs36" localSheetId="3" hidden="1">1</definedName>
    <definedName name="solver_rhs37" localSheetId="4" hidden="1">0</definedName>
    <definedName name="solver_rhs37" localSheetId="3" hidden="1">0</definedName>
    <definedName name="solver_rhs38" localSheetId="4" hidden="1">1</definedName>
    <definedName name="solver_rhs38" localSheetId="3" hidden="1">1</definedName>
    <definedName name="solver_rhs39" localSheetId="4" hidden="1">0</definedName>
    <definedName name="solver_rhs39" localSheetId="3" hidden="1">0</definedName>
    <definedName name="solver_rhs4" localSheetId="4" hidden="1">1</definedName>
    <definedName name="solver_rhs4" localSheetId="3" hidden="1">1</definedName>
    <definedName name="solver_rhs40" localSheetId="4" hidden="1">1</definedName>
    <definedName name="solver_rhs40" localSheetId="3" hidden="1">1</definedName>
    <definedName name="solver_rhs41" localSheetId="4" hidden="1">0</definedName>
    <definedName name="solver_rhs41" localSheetId="3" hidden="1">0</definedName>
    <definedName name="solver_rhs42" localSheetId="4" hidden="1">1</definedName>
    <definedName name="solver_rhs42" localSheetId="3" hidden="1">1</definedName>
    <definedName name="solver_rhs43" localSheetId="4" hidden="1">0</definedName>
    <definedName name="solver_rhs43" localSheetId="3" hidden="1">0</definedName>
    <definedName name="solver_rhs44" localSheetId="4" hidden="1">1</definedName>
    <definedName name="solver_rhs44" localSheetId="3" hidden="1">1</definedName>
    <definedName name="solver_rhs45" localSheetId="4" hidden="1">0</definedName>
    <definedName name="solver_rhs45" localSheetId="3" hidden="1">0</definedName>
    <definedName name="solver_rhs46" localSheetId="4" hidden="1">1</definedName>
    <definedName name="solver_rhs46" localSheetId="3" hidden="1">1</definedName>
    <definedName name="solver_rhs47" localSheetId="4" hidden="1">0</definedName>
    <definedName name="solver_rhs47" localSheetId="3" hidden="1">0</definedName>
    <definedName name="solver_rhs48" localSheetId="4" hidden="1">1</definedName>
    <definedName name="solver_rhs48" localSheetId="3" hidden="1">1</definedName>
    <definedName name="solver_rhs49" localSheetId="4" hidden="1">0</definedName>
    <definedName name="solver_rhs49" localSheetId="3" hidden="1">0</definedName>
    <definedName name="solver_rhs5" localSheetId="4" hidden="1">0</definedName>
    <definedName name="solver_rhs5" localSheetId="3" hidden="1">0</definedName>
    <definedName name="solver_rhs50" localSheetId="4" hidden="1">1</definedName>
    <definedName name="solver_rhs50" localSheetId="3" hidden="1">1</definedName>
    <definedName name="solver_rhs51" localSheetId="4" hidden="1">0</definedName>
    <definedName name="solver_rhs51" localSheetId="3" hidden="1">0</definedName>
    <definedName name="solver_rhs52" localSheetId="4" hidden="1">1</definedName>
    <definedName name="solver_rhs52" localSheetId="3" hidden="1">1</definedName>
    <definedName name="solver_rhs53" localSheetId="4" hidden="1">0</definedName>
    <definedName name="solver_rhs53" localSheetId="3" hidden="1">0</definedName>
    <definedName name="solver_rhs54" localSheetId="4" hidden="1">1</definedName>
    <definedName name="solver_rhs54" localSheetId="3" hidden="1">1</definedName>
    <definedName name="solver_rhs55" localSheetId="4" hidden="1">0</definedName>
    <definedName name="solver_rhs55" localSheetId="3" hidden="1">0</definedName>
    <definedName name="solver_rhs56" localSheetId="4" hidden="1">1</definedName>
    <definedName name="solver_rhs56" localSheetId="3" hidden="1">1</definedName>
    <definedName name="solver_rhs57" localSheetId="4" hidden="1">0</definedName>
    <definedName name="solver_rhs57" localSheetId="3" hidden="1">0</definedName>
    <definedName name="solver_rhs58" localSheetId="4" hidden="1">1</definedName>
    <definedName name="solver_rhs58" localSheetId="3" hidden="1">1</definedName>
    <definedName name="solver_rhs59" localSheetId="4" hidden="1">0</definedName>
    <definedName name="solver_rhs59" localSheetId="3" hidden="1">0</definedName>
    <definedName name="solver_rhs6" localSheetId="4" hidden="1">1</definedName>
    <definedName name="solver_rhs6" localSheetId="3" hidden="1">1</definedName>
    <definedName name="solver_rhs60" localSheetId="4" hidden="1">1</definedName>
    <definedName name="solver_rhs60" localSheetId="3" hidden="1">1</definedName>
    <definedName name="solver_rhs61" localSheetId="4" hidden="1">0</definedName>
    <definedName name="solver_rhs61" localSheetId="3" hidden="1">0</definedName>
    <definedName name="solver_rhs62" localSheetId="4" hidden="1">1</definedName>
    <definedName name="solver_rhs62" localSheetId="3" hidden="1">1</definedName>
    <definedName name="solver_rhs63" localSheetId="4" hidden="1">0</definedName>
    <definedName name="solver_rhs63" localSheetId="3" hidden="1">0</definedName>
    <definedName name="solver_rhs64" localSheetId="4" hidden="1">1</definedName>
    <definedName name="solver_rhs64" localSheetId="3" hidden="1">1</definedName>
    <definedName name="solver_rhs65" localSheetId="4" hidden="1">0</definedName>
    <definedName name="solver_rhs65" localSheetId="3" hidden="1">0</definedName>
    <definedName name="solver_rhs66" localSheetId="4" hidden="1">1</definedName>
    <definedName name="solver_rhs66" localSheetId="3" hidden="1">1</definedName>
    <definedName name="solver_rhs67" localSheetId="4" hidden="1">0</definedName>
    <definedName name="solver_rhs67" localSheetId="3" hidden="1">0</definedName>
    <definedName name="solver_rhs68" localSheetId="4" hidden="1">1</definedName>
    <definedName name="solver_rhs68" localSheetId="3" hidden="1">1</definedName>
    <definedName name="solver_rhs69" localSheetId="4" hidden="1">0</definedName>
    <definedName name="solver_rhs69" localSheetId="3" hidden="1">0</definedName>
    <definedName name="solver_rhs7" localSheetId="4" hidden="1">0</definedName>
    <definedName name="solver_rhs7" localSheetId="3" hidden="1">0</definedName>
    <definedName name="solver_rhs70" localSheetId="4" hidden="1">1</definedName>
    <definedName name="solver_rhs70" localSheetId="3" hidden="1">1</definedName>
    <definedName name="solver_rhs71" localSheetId="4" hidden="1">0</definedName>
    <definedName name="solver_rhs71" localSheetId="3" hidden="1">0</definedName>
    <definedName name="solver_rhs72" localSheetId="4" hidden="1">1</definedName>
    <definedName name="solver_rhs72" localSheetId="3" hidden="1">1</definedName>
    <definedName name="solver_rhs73" localSheetId="4" hidden="1">0</definedName>
    <definedName name="solver_rhs73" localSheetId="3" hidden="1">0</definedName>
    <definedName name="solver_rhs74" localSheetId="4" hidden="1">1</definedName>
    <definedName name="solver_rhs74" localSheetId="3" hidden="1">1</definedName>
    <definedName name="solver_rhs75" localSheetId="4" hidden="1">0</definedName>
    <definedName name="solver_rhs75" localSheetId="3" hidden="1">0</definedName>
    <definedName name="solver_rhs76" localSheetId="4" hidden="1">1</definedName>
    <definedName name="solver_rhs76" localSheetId="3" hidden="1">1</definedName>
    <definedName name="solver_rhs77" localSheetId="4" hidden="1">0</definedName>
    <definedName name="solver_rhs77" localSheetId="3" hidden="1">0</definedName>
    <definedName name="solver_rhs78" localSheetId="4" hidden="1">1</definedName>
    <definedName name="solver_rhs78" localSheetId="3" hidden="1">1</definedName>
    <definedName name="solver_rhs79" localSheetId="4" hidden="1">0</definedName>
    <definedName name="solver_rhs79" localSheetId="3" hidden="1">0</definedName>
    <definedName name="solver_rhs8" localSheetId="4" hidden="1">1</definedName>
    <definedName name="solver_rhs8" localSheetId="3" hidden="1">1</definedName>
    <definedName name="solver_rhs80" localSheetId="4" hidden="1">1</definedName>
    <definedName name="solver_rhs80" localSheetId="3" hidden="1">1</definedName>
    <definedName name="solver_rhs81" localSheetId="4" hidden="1">0</definedName>
    <definedName name="solver_rhs81" localSheetId="3" hidden="1">0</definedName>
    <definedName name="solver_rhs82" localSheetId="4" hidden="1">1</definedName>
    <definedName name="solver_rhs82" localSheetId="3" hidden="1">1</definedName>
    <definedName name="solver_rhs83" localSheetId="4" hidden="1">0</definedName>
    <definedName name="solver_rhs83" localSheetId="3" hidden="1">0</definedName>
    <definedName name="solver_rhs84" localSheetId="4" hidden="1">1</definedName>
    <definedName name="solver_rhs84" localSheetId="3" hidden="1">1</definedName>
    <definedName name="solver_rhs85" localSheetId="4" hidden="1">0</definedName>
    <definedName name="solver_rhs85" localSheetId="3" hidden="1">0</definedName>
    <definedName name="solver_rhs86" localSheetId="4" hidden="1">1</definedName>
    <definedName name="solver_rhs86" localSheetId="3" hidden="1">1</definedName>
    <definedName name="solver_rhs87" localSheetId="4" hidden="1">0</definedName>
    <definedName name="solver_rhs87" localSheetId="3" hidden="1">0</definedName>
    <definedName name="solver_rhs88" localSheetId="4" hidden="1">1</definedName>
    <definedName name="solver_rhs88" localSheetId="3" hidden="1">1</definedName>
    <definedName name="solver_rhs89" localSheetId="4" hidden="1">0</definedName>
    <definedName name="solver_rhs89" localSheetId="3" hidden="1">0</definedName>
    <definedName name="solver_rhs9" localSheetId="4" hidden="1">0</definedName>
    <definedName name="solver_rhs9" localSheetId="3" hidden="1">0</definedName>
    <definedName name="solver_rhs90" localSheetId="4" hidden="1">1</definedName>
    <definedName name="solver_rhs90" localSheetId="3" hidden="1">1</definedName>
    <definedName name="solver_rhs91" localSheetId="4" hidden="1">0</definedName>
    <definedName name="solver_rhs91" localSheetId="3" hidden="1">0</definedName>
    <definedName name="solver_rhs92" localSheetId="4" hidden="1">1</definedName>
    <definedName name="solver_rhs92" localSheetId="3" hidden="1">1</definedName>
    <definedName name="solver_rhs93" localSheetId="4" hidden="1">0</definedName>
    <definedName name="solver_rhs93" localSheetId="3" hidden="1">0</definedName>
    <definedName name="solver_rhs94" localSheetId="4" hidden="1">1</definedName>
    <definedName name="solver_rhs94" localSheetId="3" hidden="1">1</definedName>
    <definedName name="solver_rhs95" localSheetId="4" hidden="1">0</definedName>
    <definedName name="solver_rhs95" localSheetId="3" hidden="1">0</definedName>
    <definedName name="solver_rhs96" localSheetId="4" hidden="1">1</definedName>
    <definedName name="solver_rhs96" localSheetId="3" hidden="1">1</definedName>
    <definedName name="solver_rhs97" localSheetId="4" hidden="1">0</definedName>
    <definedName name="solver_rhs97" localSheetId="3" hidden="1">0</definedName>
    <definedName name="solver_rhs98" localSheetId="4" hidden="1">1</definedName>
    <definedName name="solver_rhs98" localSheetId="3" hidden="1">1</definedName>
    <definedName name="solver_rhs99" localSheetId="4" hidden="1">0</definedName>
    <definedName name="solver_rhs99" localSheetId="3" hidden="1">0</definedName>
    <definedName name="solver_rlx" localSheetId="4" hidden="1">2</definedName>
    <definedName name="solver_rlx" localSheetId="3" hidden="1">2</definedName>
    <definedName name="solver_rsd" localSheetId="4" hidden="1">0</definedName>
    <definedName name="solver_rsd" localSheetId="3" hidden="1">0</definedName>
    <definedName name="solver_scl" localSheetId="4" hidden="1">2</definedName>
    <definedName name="solver_scl" localSheetId="3" hidden="1">1</definedName>
    <definedName name="solver_sho" localSheetId="4" hidden="1">2</definedName>
    <definedName name="solver_sho" localSheetId="3" hidden="1">2</definedName>
    <definedName name="solver_ssz" localSheetId="4" hidden="1">100</definedName>
    <definedName name="solver_ssz" localSheetId="3" hidden="1">100</definedName>
    <definedName name="solver_tim" localSheetId="4" hidden="1">2147483647</definedName>
    <definedName name="solver_tim" localSheetId="3" hidden="1">2147483647</definedName>
    <definedName name="solver_tol" localSheetId="4" hidden="1">0.01</definedName>
    <definedName name="solver_tol" localSheetId="3" hidden="1">0.01</definedName>
    <definedName name="solver_typ" localSheetId="4" hidden="1">2</definedName>
    <definedName name="solver_typ" localSheetId="3" hidden="1">2</definedName>
    <definedName name="solver_val" localSheetId="4" hidden="1">0</definedName>
    <definedName name="solver_val" localSheetId="3" hidden="1">0</definedName>
    <definedName name="solver_ver" localSheetId="4" hidden="1">3</definedName>
    <definedName name="solver_ver" localSheetId="3" hidden="1">3</definedName>
    <definedName name="SSE_adaptive">calcAdaptive!$K$2</definedName>
    <definedName name="SSE_simple">calcSimple!$G$2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3" i="4" l="1"/>
  <c r="G3" i="4"/>
  <c r="C4" i="4"/>
  <c r="F4" i="4"/>
  <c r="E3" i="4"/>
  <c r="E4" i="4"/>
  <c r="G4" i="4"/>
  <c r="C5" i="4"/>
  <c r="D4" i="4"/>
  <c r="F5" i="4"/>
  <c r="E5" i="4"/>
  <c r="G5" i="4"/>
  <c r="C6" i="4"/>
  <c r="D5" i="4"/>
  <c r="F6" i="4"/>
  <c r="E6" i="4"/>
  <c r="G6" i="4"/>
  <c r="C7" i="4"/>
  <c r="D6" i="4"/>
  <c r="F7" i="4"/>
  <c r="E7" i="4"/>
  <c r="G7" i="4"/>
  <c r="C8" i="4"/>
  <c r="D7" i="4"/>
  <c r="F8" i="4"/>
  <c r="E8" i="4"/>
  <c r="G8" i="4"/>
  <c r="C9" i="4"/>
  <c r="D8" i="4"/>
  <c r="F9" i="4"/>
  <c r="E9" i="4"/>
  <c r="G9" i="4"/>
  <c r="C10" i="4"/>
  <c r="D9" i="4"/>
  <c r="F10" i="4"/>
  <c r="E10" i="4"/>
  <c r="G10" i="4"/>
  <c r="C11" i="4"/>
  <c r="D10" i="4"/>
  <c r="F11" i="4"/>
  <c r="E11" i="4"/>
  <c r="G11" i="4"/>
  <c r="C12" i="4"/>
  <c r="D11" i="4"/>
  <c r="F12" i="4"/>
  <c r="E12" i="4"/>
  <c r="G12" i="4"/>
  <c r="C13" i="4"/>
  <c r="D12" i="4"/>
  <c r="F13" i="4"/>
  <c r="E13" i="4"/>
  <c r="G13" i="4"/>
  <c r="C14" i="4"/>
  <c r="D13" i="4"/>
  <c r="F14" i="4"/>
  <c r="E14" i="4"/>
  <c r="G14" i="4"/>
  <c r="C15" i="4"/>
  <c r="D14" i="4"/>
  <c r="F15" i="4"/>
  <c r="E15" i="4"/>
  <c r="G15" i="4"/>
  <c r="C16" i="4"/>
  <c r="D15" i="4"/>
  <c r="F16" i="4"/>
  <c r="E16" i="4"/>
  <c r="G16" i="4"/>
  <c r="C17" i="4"/>
  <c r="D16" i="4"/>
  <c r="F17" i="4"/>
  <c r="E17" i="4"/>
  <c r="G17" i="4"/>
  <c r="C18" i="4"/>
  <c r="D17" i="4"/>
  <c r="F18" i="4"/>
  <c r="E18" i="4"/>
  <c r="G18" i="4"/>
  <c r="C19" i="4"/>
  <c r="D18" i="4"/>
  <c r="F19" i="4"/>
  <c r="E19" i="4"/>
  <c r="G19" i="4"/>
  <c r="C20" i="4"/>
  <c r="D19" i="4"/>
  <c r="F20" i="4"/>
  <c r="E20" i="4"/>
  <c r="G20" i="4"/>
  <c r="C21" i="4"/>
  <c r="D20" i="4"/>
  <c r="F21" i="4"/>
  <c r="E21" i="4"/>
  <c r="G21" i="4"/>
  <c r="C22" i="4"/>
  <c r="D21" i="4"/>
  <c r="F22" i="4"/>
  <c r="E22" i="4"/>
  <c r="G22" i="4"/>
  <c r="C23" i="4"/>
  <c r="D22" i="4"/>
  <c r="F23" i="4"/>
  <c r="E23" i="4"/>
  <c r="G23" i="4"/>
  <c r="C24" i="4"/>
  <c r="D23" i="4"/>
  <c r="F24" i="4"/>
  <c r="E24" i="4"/>
  <c r="G24" i="4"/>
  <c r="C25" i="4"/>
  <c r="D24" i="4"/>
  <c r="F25" i="4"/>
  <c r="E25" i="4"/>
  <c r="G25" i="4"/>
  <c r="C26" i="4"/>
  <c r="D25" i="4"/>
  <c r="F26" i="4"/>
  <c r="E26" i="4"/>
  <c r="G26" i="4"/>
  <c r="C27" i="4"/>
  <c r="D26" i="4"/>
  <c r="F27" i="4"/>
  <c r="E27" i="4"/>
  <c r="G27" i="4"/>
  <c r="C28" i="4"/>
  <c r="D27" i="4"/>
  <c r="F28" i="4"/>
  <c r="E28" i="4"/>
  <c r="G28" i="4"/>
  <c r="C29" i="4"/>
  <c r="D28" i="4"/>
  <c r="F29" i="4"/>
  <c r="E29" i="4"/>
  <c r="G29" i="4"/>
  <c r="C30" i="4"/>
  <c r="D29" i="4"/>
  <c r="F30" i="4"/>
  <c r="E30" i="4"/>
  <c r="G30" i="4"/>
  <c r="C31" i="4"/>
  <c r="D30" i="4"/>
  <c r="F31" i="4"/>
  <c r="E31" i="4"/>
  <c r="G31" i="4"/>
  <c r="C32" i="4"/>
  <c r="D31" i="4"/>
  <c r="F32" i="4"/>
  <c r="E32" i="4"/>
  <c r="G32" i="4"/>
  <c r="C33" i="4"/>
  <c r="D32" i="4"/>
  <c r="F33" i="4"/>
  <c r="E33" i="4"/>
  <c r="G33" i="4"/>
  <c r="C34" i="4"/>
  <c r="D33" i="4"/>
  <c r="F34" i="4"/>
  <c r="E34" i="4"/>
  <c r="G34" i="4"/>
  <c r="C35" i="4"/>
  <c r="D34" i="4"/>
  <c r="F35" i="4"/>
  <c r="E35" i="4"/>
  <c r="G35" i="4"/>
  <c r="C36" i="4"/>
  <c r="D35" i="4"/>
  <c r="F36" i="4"/>
  <c r="E36" i="4"/>
  <c r="G36" i="4"/>
  <c r="C37" i="4"/>
  <c r="D36" i="4"/>
  <c r="F37" i="4"/>
  <c r="E37" i="4"/>
  <c r="G37" i="4"/>
  <c r="C38" i="4"/>
  <c r="D37" i="4"/>
  <c r="F38" i="4"/>
  <c r="E38" i="4"/>
  <c r="G38" i="4"/>
  <c r="C39" i="4"/>
  <c r="D38" i="4"/>
  <c r="F39" i="4"/>
  <c r="E39" i="4"/>
  <c r="G39" i="4"/>
  <c r="C40" i="4"/>
  <c r="D39" i="4"/>
  <c r="F40" i="4"/>
  <c r="E40" i="4"/>
  <c r="G40" i="4"/>
  <c r="C41" i="4"/>
  <c r="D40" i="4"/>
  <c r="F41" i="4"/>
  <c r="E41" i="4"/>
  <c r="G41" i="4"/>
  <c r="C42" i="4"/>
  <c r="D41" i="4"/>
  <c r="F42" i="4"/>
  <c r="E42" i="4"/>
  <c r="G42" i="4"/>
  <c r="C43" i="4"/>
  <c r="I42" i="4"/>
  <c r="H42" i="4"/>
  <c r="D42" i="4"/>
  <c r="I41" i="4"/>
  <c r="H41" i="4"/>
  <c r="I40" i="4"/>
  <c r="H40" i="4"/>
  <c r="I39" i="4"/>
  <c r="H39" i="4"/>
  <c r="I38" i="4"/>
  <c r="H38" i="4"/>
  <c r="I37" i="4"/>
  <c r="H37" i="4"/>
  <c r="I36" i="4"/>
  <c r="H36" i="4"/>
  <c r="I35" i="4"/>
  <c r="H35" i="4"/>
  <c r="I34" i="4"/>
  <c r="H34" i="4"/>
  <c r="I33" i="4"/>
  <c r="H33" i="4"/>
  <c r="I32" i="4"/>
  <c r="H32" i="4"/>
  <c r="I31" i="4"/>
  <c r="H31" i="4"/>
  <c r="I30" i="4"/>
  <c r="H30" i="4"/>
  <c r="I29" i="4"/>
  <c r="H29" i="4"/>
  <c r="I28" i="4"/>
  <c r="H28" i="4"/>
  <c r="I27" i="4"/>
  <c r="H27" i="4"/>
  <c r="I26" i="4"/>
  <c r="H26" i="4"/>
  <c r="I25" i="4"/>
  <c r="H25" i="4"/>
  <c r="I24" i="4"/>
  <c r="H24" i="4"/>
  <c r="I23" i="4"/>
  <c r="H23" i="4"/>
  <c r="I22" i="4"/>
  <c r="H22" i="4"/>
  <c r="I21" i="4"/>
  <c r="H21" i="4"/>
  <c r="I20" i="4"/>
  <c r="H20" i="4"/>
  <c r="I19" i="4"/>
  <c r="H19" i="4"/>
  <c r="I18" i="4"/>
  <c r="H18" i="4"/>
  <c r="I17" i="4"/>
  <c r="H17" i="4"/>
  <c r="I16" i="4"/>
  <c r="H16" i="4"/>
  <c r="I15" i="4"/>
  <c r="H15" i="4"/>
  <c r="I14" i="4"/>
  <c r="H14" i="4"/>
  <c r="I13" i="4"/>
  <c r="H13" i="4"/>
  <c r="I12" i="4"/>
  <c r="H12" i="4"/>
  <c r="I11" i="4"/>
  <c r="H11" i="4"/>
  <c r="I10" i="4"/>
  <c r="H10" i="4"/>
  <c r="I9" i="4"/>
  <c r="H9" i="4"/>
  <c r="I8" i="4"/>
  <c r="H8" i="4"/>
  <c r="I7" i="4"/>
  <c r="H7" i="4"/>
  <c r="I6" i="4"/>
  <c r="H6" i="4"/>
  <c r="I5" i="4"/>
  <c r="H5" i="4"/>
  <c r="I4" i="4"/>
  <c r="H4" i="4"/>
  <c r="C2" i="3"/>
  <c r="C3" i="3"/>
  <c r="C2" i="4"/>
  <c r="D2" i="4"/>
  <c r="C3" i="4"/>
  <c r="D3" i="4"/>
  <c r="S2" i="2"/>
  <c r="O2" i="2"/>
  <c r="T3" i="2"/>
  <c r="U3" i="2"/>
  <c r="Q4" i="2"/>
  <c r="S4" i="2"/>
  <c r="S3" i="2"/>
  <c r="U4" i="2"/>
  <c r="T4" i="2"/>
  <c r="O3" i="2"/>
  <c r="P4" i="2"/>
  <c r="D2" i="5"/>
  <c r="E2" i="5"/>
  <c r="F2" i="5"/>
  <c r="G2" i="5"/>
  <c r="H2" i="5"/>
  <c r="I2" i="5"/>
  <c r="J2" i="5"/>
  <c r="K2" i="5"/>
  <c r="L2" i="5"/>
  <c r="M2" i="5"/>
  <c r="C2" i="5"/>
  <c r="G2" i="4"/>
  <c r="A11" i="5"/>
  <c r="D2" i="3"/>
  <c r="D3" i="3"/>
  <c r="F2" i="3"/>
  <c r="H2" i="4"/>
  <c r="H3" i="4"/>
  <c r="J2" i="4"/>
  <c r="I3" i="4"/>
  <c r="I2" i="4"/>
  <c r="K2" i="4"/>
  <c r="E3" i="3"/>
  <c r="E2" i="3"/>
  <c r="G2" i="3"/>
</calcChain>
</file>

<file path=xl/sharedStrings.xml><?xml version="1.0" encoding="utf-8"?>
<sst xmlns="http://schemas.openxmlformats.org/spreadsheetml/2006/main" count="27" uniqueCount="17">
  <si>
    <t>Week</t>
  </si>
  <si>
    <t>Sold</t>
  </si>
  <si>
    <t>Simple</t>
  </si>
  <si>
    <t>alpha</t>
  </si>
  <si>
    <t>APE</t>
  </si>
  <si>
    <t>MAPE</t>
  </si>
  <si>
    <t>Adaptive</t>
  </si>
  <si>
    <t>SqErr</t>
  </si>
  <si>
    <t>SSE</t>
  </si>
  <si>
    <t>e_t</t>
  </si>
  <si>
    <t>Q_t</t>
  </si>
  <si>
    <t>D_t</t>
  </si>
  <si>
    <t>gamma</t>
  </si>
  <si>
    <t>omega</t>
  </si>
  <si>
    <t>Recorded Sales</t>
  </si>
  <si>
    <t>Adaptive Forecast</t>
  </si>
  <si>
    <t>Number of Units Sold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</si>
</sst>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6" formatCode="0.0000000000000000000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30">
    <xf numFmtId="0" fontId="0" fillId="0" borderId="0" xfId="0"/>
    <xf numFmtId="1" fontId="0" fillId="0" borderId="0" xfId="0" applyNumberFormat="1"/>
    <xf numFmtId="2" fontId="0" fillId="0" borderId="0" xfId="0" applyNumberFormat="1"/>
    <xf numFmtId="0" fontId="0" fillId="0" borderId="0" xfId="0" applyAlignment="1">
      <alignment horizontal="right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" fontId="0" fillId="0" borderId="0" xfId="0" applyNumberFormat="1" applyAlignment="1">
      <alignment horizontal="center"/>
    </xf>
    <xf numFmtId="1" fontId="0" fillId="0" borderId="2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Border="1" applyAlignment="1">
      <alignment horizontal="right"/>
    </xf>
    <xf numFmtId="1" fontId="0" fillId="0" borderId="0" xfId="0" applyNumberFormat="1" applyBorder="1" applyAlignment="1">
      <alignment horizontal="right"/>
    </xf>
    <xf numFmtId="0" fontId="0" fillId="0" borderId="0" xfId="0" applyBorder="1"/>
    <xf numFmtId="2" fontId="0" fillId="0" borderId="2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0" fontId="0" fillId="0" borderId="1" xfId="0" applyBorder="1" applyProtection="1">
      <protection locked="0"/>
    </xf>
    <xf numFmtId="1" fontId="0" fillId="0" borderId="0" xfId="0" applyNumberFormat="1" applyBorder="1" applyAlignment="1" applyProtection="1">
      <alignment horizontal="right"/>
      <protection locked="0"/>
    </xf>
    <xf numFmtId="1" fontId="0" fillId="0" borderId="0" xfId="0" applyNumberFormat="1" applyProtection="1">
      <protection locked="0"/>
    </xf>
    <xf numFmtId="1" fontId="0" fillId="0" borderId="3" xfId="0" applyNumberFormat="1" applyBorder="1" applyAlignment="1" applyProtection="1">
      <alignment horizontal="right"/>
      <protection locked="0"/>
    </xf>
    <xf numFmtId="164" fontId="0" fillId="0" borderId="2" xfId="0" applyNumberFormat="1" applyBorder="1" applyAlignment="1" applyProtection="1">
      <alignment horizontal="center"/>
      <protection locked="0"/>
    </xf>
    <xf numFmtId="1" fontId="0" fillId="0" borderId="1" xfId="0" applyNumberFormat="1" applyBorder="1" applyAlignment="1" applyProtection="1">
      <alignment horizontal="right"/>
      <protection locked="0"/>
    </xf>
    <xf numFmtId="164" fontId="0" fillId="0" borderId="2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166" fontId="0" fillId="0" borderId="0" xfId="0" applyNumberFormat="1"/>
  </cellXfs>
  <cellStyles count="1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GB"/>
              <a:t>Product</a:t>
            </a:r>
            <a:r>
              <a:rPr lang="en-GB" baseline="0"/>
              <a:t> 1 History &amp; Forecast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Start!$B$3</c:f>
              <c:strCache>
                <c:ptCount val="1"/>
                <c:pt idx="0">
                  <c:v>Recorded Sales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cat>
            <c:numRef>
              <c:f>Start!$C$2:$M$2</c:f>
              <c:numCache>
                <c:formatCode>General</c:formatCode>
                <c:ptCount val="11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  <c:pt idx="8">
                  <c:v>40</c:v>
                </c:pt>
                <c:pt idx="9">
                  <c:v>41</c:v>
                </c:pt>
                <c:pt idx="10">
                  <c:v>42</c:v>
                </c:pt>
              </c:numCache>
            </c:numRef>
          </c:cat>
          <c:val>
            <c:numRef>
              <c:f>Start!$C$3:$M$3</c:f>
              <c:numCache>
                <c:formatCode>0</c:formatCode>
                <c:ptCount val="11"/>
                <c:pt idx="0">
                  <c:v>1867</c:v>
                </c:pt>
                <c:pt idx="1">
                  <c:v>1846</c:v>
                </c:pt>
                <c:pt idx="2">
                  <c:v>2765</c:v>
                </c:pt>
                <c:pt idx="3">
                  <c:v>2088</c:v>
                </c:pt>
                <c:pt idx="4">
                  <c:v>2554</c:v>
                </c:pt>
                <c:pt idx="5">
                  <c:v>1980</c:v>
                </c:pt>
                <c:pt idx="6">
                  <c:v>2843</c:v>
                </c:pt>
                <c:pt idx="7">
                  <c:v>2328</c:v>
                </c:pt>
                <c:pt idx="8">
                  <c:v>2404</c:v>
                </c:pt>
                <c:pt idx="9">
                  <c:v>1614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Start!$B$4</c:f>
              <c:strCache>
                <c:ptCount val="1"/>
                <c:pt idx="0">
                  <c:v>Adaptive Forecast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'Error Bars'!$C$2:$M$2</c:f>
                <c:numCache>
                  <c:formatCode>General</c:formatCode>
                  <c:ptCount val="11"/>
                  <c:pt idx="0">
                    <c:v>311.6769411502205</c:v>
                  </c:pt>
                  <c:pt idx="1">
                    <c:v>309.65153077478368</c:v>
                  </c:pt>
                  <c:pt idx="2">
                    <c:v>296.34782377787485</c:v>
                  </c:pt>
                  <c:pt idx="3">
                    <c:v>277.54643993251983</c:v>
                  </c:pt>
                  <c:pt idx="4">
                    <c:v>263.63042158758208</c:v>
                  </c:pt>
                  <c:pt idx="5">
                    <c:v>245.01410027987384</c:v>
                  </c:pt>
                  <c:pt idx="6">
                    <c:v>260.97053724561647</c:v>
                  </c:pt>
                  <c:pt idx="7">
                    <c:v>289.80730418503111</c:v>
                  </c:pt>
                  <c:pt idx="8">
                    <c:v>282.53494187822707</c:v>
                  </c:pt>
                  <c:pt idx="9">
                    <c:v>287.79315983155448</c:v>
                  </c:pt>
                  <c:pt idx="10">
                    <c:v>274.33731019728691</c:v>
                  </c:pt>
                </c:numCache>
              </c:numRef>
            </c:plus>
            <c:minus>
              <c:numRef>
                <c:f>'Error Bars'!$C$2:$M$2</c:f>
                <c:numCache>
                  <c:formatCode>General</c:formatCode>
                  <c:ptCount val="11"/>
                  <c:pt idx="0">
                    <c:v>311.6769411502205</c:v>
                  </c:pt>
                  <c:pt idx="1">
                    <c:v>309.65153077478368</c:v>
                  </c:pt>
                  <c:pt idx="2">
                    <c:v>296.34782377787485</c:v>
                  </c:pt>
                  <c:pt idx="3">
                    <c:v>277.54643993251983</c:v>
                  </c:pt>
                  <c:pt idx="4">
                    <c:v>263.63042158758208</c:v>
                  </c:pt>
                  <c:pt idx="5">
                    <c:v>245.01410027987384</c:v>
                  </c:pt>
                  <c:pt idx="6">
                    <c:v>260.97053724561647</c:v>
                  </c:pt>
                  <c:pt idx="7">
                    <c:v>289.80730418503111</c:v>
                  </c:pt>
                  <c:pt idx="8">
                    <c:v>282.53494187822707</c:v>
                  </c:pt>
                  <c:pt idx="9">
                    <c:v>287.79315983155448</c:v>
                  </c:pt>
                  <c:pt idx="10">
                    <c:v>274.33731019728691</c:v>
                  </c:pt>
                </c:numCache>
              </c:numRef>
            </c:minus>
            <c:spPr>
              <a:noFill/>
              <a:ln w="9525">
                <a:solidFill>
                  <a:schemeClr val="tx1">
                    <a:lumMod val="50000"/>
                    <a:lumOff val="50000"/>
                  </a:schemeClr>
                </a:solidFill>
                <a:round/>
              </a:ln>
              <a:effectLst/>
            </c:spPr>
          </c:errBars>
          <c:cat>
            <c:numRef>
              <c:f>Start!$C$2:$M$2</c:f>
              <c:numCache>
                <c:formatCode>General</c:formatCode>
                <c:ptCount val="11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  <c:pt idx="8">
                  <c:v>40</c:v>
                </c:pt>
                <c:pt idx="9">
                  <c:v>41</c:v>
                </c:pt>
                <c:pt idx="10">
                  <c:v>42</c:v>
                </c:pt>
              </c:numCache>
            </c:numRef>
          </c:cat>
          <c:val>
            <c:numRef>
              <c:f>Start!$C$4:$M$4</c:f>
              <c:numCache>
                <c:formatCode>0</c:formatCode>
                <c:ptCount val="11"/>
                <c:pt idx="0">
                  <c:v>2412.3929630094613</c:v>
                </c:pt>
                <c:pt idx="1">
                  <c:v>2217.3834482407792</c:v>
                </c:pt>
                <c:pt idx="2">
                  <c:v>2122.8503121065528</c:v>
                </c:pt>
                <c:pt idx="3">
                  <c:v>2245.839463074602</c:v>
                </c:pt>
                <c:pt idx="4">
                  <c:v>2205.1913117215918</c:v>
                </c:pt>
                <c:pt idx="5">
                  <c:v>2286.1920250948883</c:v>
                </c:pt>
                <c:pt idx="6">
                  <c:v>2204.8526763709019</c:v>
                </c:pt>
                <c:pt idx="7">
                  <c:v>2343.97122606214</c:v>
                </c:pt>
                <c:pt idx="8">
                  <c:v>2339.5610765497236</c:v>
                </c:pt>
                <c:pt idx="9">
                  <c:v>2357.1983769030603</c:v>
                </c:pt>
                <c:pt idx="10">
                  <c:v>2149.5775079430723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2057352"/>
        <c:axId val="542057744"/>
        <c:extLst/>
      </c:lineChart>
      <c:catAx>
        <c:axId val="5420573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Sales (</a:t>
                </a:r>
                <a:r>
                  <a:rPr lang="en-GB" sz="900" b="0" i="0" u="none" strike="noStrike" cap="all" baseline="0">
                    <a:effectLst/>
                  </a:rPr>
                  <a:t>in units)</a:t>
                </a:r>
                <a:r>
                  <a:rPr lang="en-GB"/>
                  <a:t> by week No. 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057744"/>
        <c:crosses val="autoZero"/>
        <c:auto val="1"/>
        <c:lblAlgn val="ctr"/>
        <c:lblOffset val="100"/>
        <c:noMultiLvlLbl val="0"/>
      </c:catAx>
      <c:valAx>
        <c:axId val="542057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No. of units</a:t>
                </a:r>
              </a:p>
            </c:rich>
          </c:tx>
          <c:layout>
            <c:manualLayout>
              <c:xMode val="edge"/>
              <c:yMode val="edge"/>
              <c:x val="6.3989393664896699E-2"/>
              <c:y val="0.4244528166415060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057352"/>
        <c:crosses val="autoZero"/>
        <c:crossBetween val="between"/>
      </c:valAx>
      <c:dTable>
        <c:showHorzBorder val="0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435657</xdr:colOff>
          <xdr:row>6</xdr:row>
          <xdr:rowOff>4787</xdr:rowOff>
        </xdr:from>
        <xdr:to>
          <xdr:col>20</xdr:col>
          <xdr:colOff>296821</xdr:colOff>
          <xdr:row>9</xdr:row>
          <xdr:rowOff>4787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Click HERE Motherfucker!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1053237</xdr:colOff>
      <xdr:row>4</xdr:row>
      <xdr:rowOff>114899</xdr:rowOff>
    </xdr:from>
    <xdr:to>
      <xdr:col>17</xdr:col>
      <xdr:colOff>14363</xdr:colOff>
      <xdr:row>31</xdr:row>
      <xdr:rowOff>157986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435657</xdr:colOff>
          <xdr:row>10</xdr:row>
          <xdr:rowOff>19150</xdr:rowOff>
        </xdr:from>
        <xdr:to>
          <xdr:col>20</xdr:col>
          <xdr:colOff>296821</xdr:colOff>
          <xdr:row>13</xdr:row>
          <xdr:rowOff>14362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Clickez ICI Connard!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autoPageBreaks="0"/>
  </sheetPr>
  <dimension ref="A1:U23"/>
  <sheetViews>
    <sheetView showGridLines="0" showRowColHeaders="0" zoomScaleNormal="100" workbookViewId="0">
      <selection activeCell="H17" sqref="H17"/>
    </sheetView>
  </sheetViews>
  <sheetFormatPr defaultColWidth="8.796875" defaultRowHeight="14.35" x14ac:dyDescent="0.45"/>
  <cols>
    <col min="1" max="1" width="14.86328125" bestFit="1" customWidth="1"/>
    <col min="2" max="2" width="13.1328125" bestFit="1" customWidth="1"/>
    <col min="3" max="3" width="7.6640625" customWidth="1"/>
    <col min="4" max="5" width="7.6640625" style="3" customWidth="1"/>
    <col min="6" max="6" width="7.6640625" customWidth="1"/>
    <col min="7" max="7" width="7.6640625" style="5" customWidth="1"/>
    <col min="8" max="8" width="7.6640625" style="1" customWidth="1"/>
    <col min="9" max="12" width="7.6640625" customWidth="1"/>
    <col min="13" max="13" width="7.6640625" style="6" customWidth="1"/>
    <col min="14" max="15" width="5.59765625" style="9" bestFit="1" customWidth="1"/>
    <col min="16" max="16" width="1.6640625" style="7" bestFit="1" customWidth="1"/>
    <col min="17" max="17" width="3.73046875" style="1" bestFit="1" customWidth="1"/>
    <col min="18" max="18" width="4.6640625" style="7" customWidth="1"/>
    <col min="19" max="19" width="8.59765625" style="7" customWidth="1"/>
    <col min="20" max="21" width="8.59765625" customWidth="1"/>
  </cols>
  <sheetData>
    <row r="1" spans="1:21" x14ac:dyDescent="0.45">
      <c r="A1" s="11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1"/>
    </row>
    <row r="2" spans="1:21" x14ac:dyDescent="0.45">
      <c r="A2" s="10"/>
      <c r="B2" s="23" t="s">
        <v>0</v>
      </c>
      <c r="C2" s="18">
        <v>32</v>
      </c>
      <c r="D2" s="18">
        <v>33</v>
      </c>
      <c r="E2" s="18">
        <v>34</v>
      </c>
      <c r="F2" s="18">
        <v>35</v>
      </c>
      <c r="G2" s="18">
        <v>36</v>
      </c>
      <c r="H2" s="18">
        <v>37</v>
      </c>
      <c r="I2" s="18">
        <v>38</v>
      </c>
      <c r="J2" s="18">
        <v>39</v>
      </c>
      <c r="K2" s="18">
        <v>40</v>
      </c>
      <c r="L2" s="18">
        <v>41</v>
      </c>
      <c r="M2" s="18">
        <v>42</v>
      </c>
      <c r="O2" s="28" t="str">
        <f>IF($M$4="","","Error Tracking")</f>
        <v>Error Tracking</v>
      </c>
      <c r="P2" s="28"/>
      <c r="Q2" s="28"/>
      <c r="R2" s="1"/>
      <c r="S2" s="25" t="str">
        <f>IF($M$4="","","Forecast Range for Week " &amp; M2)</f>
        <v>Forecast Range for Week 42</v>
      </c>
      <c r="T2" s="26"/>
      <c r="U2" s="27"/>
    </row>
    <row r="3" spans="1:21" x14ac:dyDescent="0.45">
      <c r="A3" s="10"/>
      <c r="B3" s="19" t="s">
        <v>14</v>
      </c>
      <c r="C3" s="20">
        <v>1867</v>
      </c>
      <c r="D3" s="20">
        <v>1846</v>
      </c>
      <c r="E3" s="20">
        <v>2765</v>
      </c>
      <c r="F3" s="20">
        <v>2088</v>
      </c>
      <c r="G3" s="20">
        <v>2554</v>
      </c>
      <c r="H3" s="20">
        <v>1980</v>
      </c>
      <c r="I3" s="20">
        <v>2843</v>
      </c>
      <c r="J3" s="20">
        <v>2328</v>
      </c>
      <c r="K3" s="20">
        <v>2404</v>
      </c>
      <c r="L3" s="20">
        <v>1614</v>
      </c>
      <c r="M3" s="19"/>
      <c r="O3" s="24" t="str">
        <f>IF($L$3="","","(MAPE)")</f>
        <v>(MAPE)</v>
      </c>
      <c r="P3" s="24"/>
      <c r="Q3" s="24"/>
      <c r="R3" s="1"/>
      <c r="S3" s="14" t="str">
        <f>IF($M$4="","","Lower")</f>
        <v>Lower</v>
      </c>
      <c r="T3" s="14" t="str">
        <f>IF($M$4="","","Expected")</f>
        <v>Expected</v>
      </c>
      <c r="U3" s="14" t="str">
        <f>IF($M$4="","","Upper")</f>
        <v>Upper</v>
      </c>
    </row>
    <row r="4" spans="1:21" ht="14.7" thickBot="1" x14ac:dyDescent="0.5">
      <c r="A4" s="10"/>
      <c r="B4" s="21" t="s">
        <v>15</v>
      </c>
      <c r="C4" s="21">
        <v>2412.3929630094613</v>
      </c>
      <c r="D4" s="21">
        <v>2217.3834482407792</v>
      </c>
      <c r="E4" s="21">
        <v>2122.8503121065528</v>
      </c>
      <c r="F4" s="21">
        <v>2245.839463074602</v>
      </c>
      <c r="G4" s="21">
        <v>2205.1913117215918</v>
      </c>
      <c r="H4" s="21">
        <v>2286.1920250948883</v>
      </c>
      <c r="I4" s="21">
        <v>2204.8526763709019</v>
      </c>
      <c r="J4" s="21">
        <v>2343.97122606214</v>
      </c>
      <c r="K4" s="21">
        <v>2339.5610765497236</v>
      </c>
      <c r="L4" s="21">
        <v>2357.1983769030603</v>
      </c>
      <c r="M4" s="21">
        <v>2149.5775079430723</v>
      </c>
      <c r="N4" s="17"/>
      <c r="O4" s="22">
        <v>0.1515606305998958</v>
      </c>
      <c r="P4" s="13" t="str">
        <f>IF($L$3="","","=")</f>
        <v>=</v>
      </c>
      <c r="Q4" s="8">
        <f>IF($L$3="","",L3*O4)</f>
        <v>244.61885778823182</v>
      </c>
      <c r="R4" s="1"/>
      <c r="S4" s="16">
        <f>IF($M$4="","",M4-Q4)</f>
        <v>1904.9586501548406</v>
      </c>
      <c r="T4" s="14">
        <f>IF($M$4="","",M4)</f>
        <v>2149.5775079430723</v>
      </c>
      <c r="U4" s="15">
        <f>IF($M$4="","",M4+Q4)</f>
        <v>2394.196365731304</v>
      </c>
    </row>
    <row r="5" spans="1:21" x14ac:dyDescent="0.45">
      <c r="B5" s="1"/>
    </row>
    <row r="6" spans="1:21" x14ac:dyDescent="0.45">
      <c r="B6" s="1"/>
    </row>
    <row r="7" spans="1:21" x14ac:dyDescent="0.45">
      <c r="B7" s="1"/>
    </row>
    <row r="8" spans="1:21" x14ac:dyDescent="0.45">
      <c r="B8" s="1"/>
    </row>
    <row r="9" spans="1:21" x14ac:dyDescent="0.45">
      <c r="B9" s="1"/>
    </row>
    <row r="10" spans="1:21" x14ac:dyDescent="0.45">
      <c r="B10" s="1"/>
      <c r="F10" s="1"/>
      <c r="G10" s="4"/>
      <c r="K10" s="1"/>
      <c r="L10" s="1"/>
    </row>
    <row r="11" spans="1:21" x14ac:dyDescent="0.45">
      <c r="B11" s="1"/>
      <c r="G11" s="4"/>
      <c r="K11" s="1"/>
      <c r="L11" s="1"/>
    </row>
    <row r="21" spans="4:12" x14ac:dyDescent="0.45">
      <c r="D21"/>
      <c r="E21"/>
      <c r="G21"/>
      <c r="H21"/>
    </row>
    <row r="22" spans="4:12" x14ac:dyDescent="0.45">
      <c r="K22" s="1"/>
      <c r="L22" s="4"/>
    </row>
    <row r="23" spans="4:12" x14ac:dyDescent="0.45">
      <c r="K23" s="1"/>
      <c r="L23" s="4"/>
    </row>
  </sheetData>
  <sheetProtection sheet="1" objects="1" scenarios="1" selectLockedCells="1" selectUnlockedCells="1"/>
  <mergeCells count="3">
    <mergeCell ref="O3:Q3"/>
    <mergeCell ref="S2:U2"/>
    <mergeCell ref="O2:Q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impleFcast">
                <anchor moveWithCells="1" sizeWithCells="1">
                  <from>
                    <xdr:col>18</xdr:col>
                    <xdr:colOff>435657</xdr:colOff>
                    <xdr:row>6</xdr:row>
                    <xdr:rowOff>4787</xdr:rowOff>
                  </from>
                  <to>
                    <xdr:col>20</xdr:col>
                    <xdr:colOff>296821</xdr:colOff>
                    <xdr:row>9</xdr:row>
                    <xdr:rowOff>4787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daptiveFcast">
                <anchor moveWithCells="1" sizeWithCells="1">
                  <from>
                    <xdr:col>18</xdr:col>
                    <xdr:colOff>435657</xdr:colOff>
                    <xdr:row>10</xdr:row>
                    <xdr:rowOff>19150</xdr:rowOff>
                  </from>
                  <to>
                    <xdr:col>20</xdr:col>
                    <xdr:colOff>296821</xdr:colOff>
                    <xdr:row>13</xdr:row>
                    <xdr:rowOff>14362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05"/>
  <sheetViews>
    <sheetView tabSelected="1" workbookViewId="0">
      <pane ySplit="1" topLeftCell="A14" activePane="bottomLeft" state="frozen"/>
      <selection pane="bottomLeft" activeCell="C18" sqref="C18:D42"/>
    </sheetView>
  </sheetViews>
  <sheetFormatPr defaultColWidth="8.796875" defaultRowHeight="14.35" x14ac:dyDescent="0.45"/>
  <cols>
    <col min="2" max="2" width="13.33203125" customWidth="1"/>
  </cols>
  <sheetData>
    <row r="1" spans="1:2" x14ac:dyDescent="0.45">
      <c r="A1" t="s">
        <v>0</v>
      </c>
      <c r="B1" t="s">
        <v>1</v>
      </c>
    </row>
    <row r="2" spans="1:2" x14ac:dyDescent="0.45">
      <c r="A2">
        <v>1</v>
      </c>
      <c r="B2">
        <v>1525</v>
      </c>
    </row>
    <row r="3" spans="1:2" x14ac:dyDescent="0.45">
      <c r="A3">
        <v>2</v>
      </c>
      <c r="B3">
        <v>1960</v>
      </c>
    </row>
    <row r="4" spans="1:2" x14ac:dyDescent="0.45">
      <c r="A4">
        <v>3</v>
      </c>
      <c r="B4">
        <v>2062</v>
      </c>
    </row>
    <row r="5" spans="1:2" x14ac:dyDescent="0.45">
      <c r="A5">
        <v>4</v>
      </c>
      <c r="B5">
        <v>2214</v>
      </c>
    </row>
    <row r="6" spans="1:2" x14ac:dyDescent="0.45">
      <c r="A6">
        <v>5</v>
      </c>
      <c r="B6">
        <v>1622</v>
      </c>
    </row>
    <row r="7" spans="1:2" x14ac:dyDescent="0.45">
      <c r="A7">
        <v>6</v>
      </c>
      <c r="B7">
        <v>1927</v>
      </c>
    </row>
    <row r="8" spans="1:2" x14ac:dyDescent="0.45">
      <c r="A8">
        <v>7</v>
      </c>
      <c r="B8">
        <v>1952</v>
      </c>
    </row>
    <row r="9" spans="1:2" x14ac:dyDescent="0.45">
      <c r="A9">
        <v>8</v>
      </c>
      <c r="B9">
        <v>2215</v>
      </c>
    </row>
    <row r="10" spans="1:2" x14ac:dyDescent="0.45">
      <c r="A10">
        <v>9</v>
      </c>
      <c r="B10">
        <v>2010</v>
      </c>
    </row>
    <row r="11" spans="1:2" x14ac:dyDescent="0.45">
      <c r="A11">
        <v>10</v>
      </c>
      <c r="B11">
        <v>2068</v>
      </c>
    </row>
    <row r="12" spans="1:2" x14ac:dyDescent="0.45">
      <c r="A12">
        <v>11</v>
      </c>
      <c r="B12">
        <v>1866</v>
      </c>
    </row>
    <row r="13" spans="1:2" x14ac:dyDescent="0.45">
      <c r="A13">
        <v>12</v>
      </c>
      <c r="B13">
        <v>1445</v>
      </c>
    </row>
    <row r="14" spans="1:2" x14ac:dyDescent="0.45">
      <c r="A14">
        <v>13</v>
      </c>
      <c r="B14">
        <v>1724</v>
      </c>
    </row>
    <row r="15" spans="1:2" x14ac:dyDescent="0.45">
      <c r="A15">
        <v>14</v>
      </c>
      <c r="B15">
        <v>2421</v>
      </c>
    </row>
    <row r="16" spans="1:2" x14ac:dyDescent="0.45">
      <c r="A16">
        <v>15</v>
      </c>
      <c r="B16">
        <v>1797</v>
      </c>
    </row>
    <row r="17" spans="1:4" x14ac:dyDescent="0.45">
      <c r="A17">
        <v>16</v>
      </c>
      <c r="B17">
        <v>2289</v>
      </c>
    </row>
    <row r="18" spans="1:4" x14ac:dyDescent="0.45">
      <c r="C18">
        <v>17</v>
      </c>
      <c r="D18">
        <v>2072</v>
      </c>
    </row>
    <row r="19" spans="1:4" x14ac:dyDescent="0.45">
      <c r="C19">
        <v>18</v>
      </c>
      <c r="D19">
        <v>2653</v>
      </c>
    </row>
    <row r="20" spans="1:4" x14ac:dyDescent="0.45">
      <c r="C20">
        <v>19</v>
      </c>
      <c r="D20">
        <v>2558</v>
      </c>
    </row>
    <row r="21" spans="1:4" x14ac:dyDescent="0.45">
      <c r="C21">
        <v>20</v>
      </c>
      <c r="D21">
        <v>1713</v>
      </c>
    </row>
    <row r="22" spans="1:4" x14ac:dyDescent="0.45">
      <c r="C22">
        <v>21</v>
      </c>
      <c r="D22">
        <v>2207</v>
      </c>
    </row>
    <row r="23" spans="1:4" x14ac:dyDescent="0.45">
      <c r="C23">
        <v>22</v>
      </c>
      <c r="D23">
        <v>2141</v>
      </c>
    </row>
    <row r="24" spans="1:4" x14ac:dyDescent="0.45">
      <c r="C24">
        <v>23</v>
      </c>
      <c r="D24">
        <v>2546</v>
      </c>
    </row>
    <row r="25" spans="1:4" x14ac:dyDescent="0.45">
      <c r="C25">
        <v>24</v>
      </c>
      <c r="D25">
        <v>2322</v>
      </c>
    </row>
    <row r="26" spans="1:4" x14ac:dyDescent="0.45">
      <c r="C26">
        <v>25</v>
      </c>
      <c r="D26">
        <v>2296</v>
      </c>
    </row>
    <row r="27" spans="1:4" x14ac:dyDescent="0.45">
      <c r="C27">
        <v>26</v>
      </c>
      <c r="D27">
        <v>2633</v>
      </c>
    </row>
    <row r="28" spans="1:4" x14ac:dyDescent="0.45">
      <c r="C28">
        <v>27</v>
      </c>
      <c r="D28">
        <v>2574</v>
      </c>
    </row>
    <row r="29" spans="1:4" x14ac:dyDescent="0.45">
      <c r="C29">
        <v>28</v>
      </c>
      <c r="D29">
        <v>2646</v>
      </c>
    </row>
    <row r="30" spans="1:4" x14ac:dyDescent="0.45">
      <c r="C30">
        <v>29</v>
      </c>
      <c r="D30">
        <v>2015</v>
      </c>
    </row>
    <row r="31" spans="1:4" x14ac:dyDescent="0.45">
      <c r="C31">
        <v>30</v>
      </c>
      <c r="D31">
        <v>1998</v>
      </c>
    </row>
    <row r="32" spans="1:4" x14ac:dyDescent="0.45">
      <c r="C32">
        <v>31</v>
      </c>
      <c r="D32">
        <v>2976</v>
      </c>
    </row>
    <row r="33" spans="3:4" x14ac:dyDescent="0.45">
      <c r="C33">
        <v>32</v>
      </c>
      <c r="D33">
        <v>1867</v>
      </c>
    </row>
    <row r="34" spans="3:4" x14ac:dyDescent="0.45">
      <c r="C34">
        <v>33</v>
      </c>
      <c r="D34">
        <v>1846</v>
      </c>
    </row>
    <row r="35" spans="3:4" x14ac:dyDescent="0.45">
      <c r="C35">
        <v>34</v>
      </c>
      <c r="D35">
        <v>2765</v>
      </c>
    </row>
    <row r="36" spans="3:4" x14ac:dyDescent="0.45">
      <c r="C36">
        <v>35</v>
      </c>
      <c r="D36">
        <v>2088</v>
      </c>
    </row>
    <row r="37" spans="3:4" x14ac:dyDescent="0.45">
      <c r="C37">
        <v>36</v>
      </c>
      <c r="D37">
        <v>2554</v>
      </c>
    </row>
    <row r="38" spans="3:4" x14ac:dyDescent="0.45">
      <c r="C38">
        <v>37</v>
      </c>
      <c r="D38">
        <v>1980</v>
      </c>
    </row>
    <row r="39" spans="3:4" x14ac:dyDescent="0.45">
      <c r="C39">
        <v>38</v>
      </c>
      <c r="D39">
        <v>2843</v>
      </c>
    </row>
    <row r="40" spans="3:4" x14ac:dyDescent="0.45">
      <c r="C40">
        <v>39</v>
      </c>
      <c r="D40">
        <v>2328</v>
      </c>
    </row>
    <row r="41" spans="3:4" x14ac:dyDescent="0.45">
      <c r="C41">
        <v>40</v>
      </c>
      <c r="D41">
        <v>2404</v>
      </c>
    </row>
    <row r="42" spans="3:4" x14ac:dyDescent="0.45">
      <c r="C42">
        <v>41</v>
      </c>
      <c r="D42">
        <v>1614</v>
      </c>
    </row>
    <row r="43" spans="3:4" x14ac:dyDescent="0.45">
      <c r="C43">
        <v>42</v>
      </c>
      <c r="D43">
        <v>1851</v>
      </c>
    </row>
    <row r="44" spans="3:4" x14ac:dyDescent="0.45">
      <c r="C44">
        <v>43</v>
      </c>
      <c r="D44">
        <v>1648</v>
      </c>
    </row>
    <row r="45" spans="3:4" x14ac:dyDescent="0.45">
      <c r="C45">
        <v>44</v>
      </c>
      <c r="D45">
        <v>1637</v>
      </c>
    </row>
    <row r="46" spans="3:4" x14ac:dyDescent="0.45">
      <c r="C46">
        <v>45</v>
      </c>
      <c r="D46">
        <v>2211</v>
      </c>
    </row>
    <row r="47" spans="3:4" x14ac:dyDescent="0.45">
      <c r="C47">
        <v>46</v>
      </c>
      <c r="D47">
        <v>1754</v>
      </c>
    </row>
    <row r="48" spans="3:4" x14ac:dyDescent="0.45">
      <c r="C48">
        <v>47</v>
      </c>
      <c r="D48">
        <v>1600</v>
      </c>
    </row>
    <row r="49" spans="3:4" x14ac:dyDescent="0.45">
      <c r="C49">
        <v>48</v>
      </c>
      <c r="D49">
        <v>2002</v>
      </c>
    </row>
    <row r="50" spans="3:4" x14ac:dyDescent="0.45">
      <c r="C50">
        <v>49</v>
      </c>
      <c r="D50">
        <v>1813</v>
      </c>
    </row>
    <row r="51" spans="3:4" x14ac:dyDescent="0.45">
      <c r="C51">
        <v>50</v>
      </c>
      <c r="D51">
        <v>2025</v>
      </c>
    </row>
    <row r="52" spans="3:4" x14ac:dyDescent="0.45">
      <c r="C52">
        <v>51</v>
      </c>
      <c r="D52">
        <v>1508</v>
      </c>
    </row>
    <row r="53" spans="3:4" x14ac:dyDescent="0.45">
      <c r="C53">
        <v>52</v>
      </c>
      <c r="D53">
        <v>1694</v>
      </c>
    </row>
    <row r="54" spans="3:4" x14ac:dyDescent="0.45">
      <c r="C54">
        <v>53</v>
      </c>
      <c r="D54">
        <v>2007</v>
      </c>
    </row>
    <row r="55" spans="3:4" x14ac:dyDescent="0.45">
      <c r="C55">
        <v>54</v>
      </c>
      <c r="D55">
        <v>1643</v>
      </c>
    </row>
    <row r="56" spans="3:4" x14ac:dyDescent="0.45">
      <c r="C56">
        <v>55</v>
      </c>
      <c r="D56">
        <v>1917</v>
      </c>
    </row>
    <row r="57" spans="3:4" x14ac:dyDescent="0.45">
      <c r="C57">
        <v>56</v>
      </c>
      <c r="D57">
        <v>1722</v>
      </c>
    </row>
    <row r="58" spans="3:4" x14ac:dyDescent="0.45">
      <c r="C58">
        <v>57</v>
      </c>
      <c r="D58">
        <v>1440</v>
      </c>
    </row>
    <row r="59" spans="3:4" x14ac:dyDescent="0.45">
      <c r="C59">
        <v>58</v>
      </c>
      <c r="D59">
        <v>1776</v>
      </c>
    </row>
    <row r="60" spans="3:4" x14ac:dyDescent="0.45">
      <c r="C60">
        <v>59</v>
      </c>
      <c r="D60">
        <v>2243</v>
      </c>
    </row>
    <row r="61" spans="3:4" x14ac:dyDescent="0.45">
      <c r="C61">
        <v>60</v>
      </c>
      <c r="D61">
        <v>1639</v>
      </c>
    </row>
    <row r="62" spans="3:4" x14ac:dyDescent="0.45">
      <c r="C62">
        <v>61</v>
      </c>
      <c r="D62">
        <v>1717</v>
      </c>
    </row>
    <row r="63" spans="3:4" x14ac:dyDescent="0.45">
      <c r="C63">
        <v>62</v>
      </c>
      <c r="D63">
        <v>2664</v>
      </c>
    </row>
    <row r="64" spans="3:4" x14ac:dyDescent="0.45">
      <c r="C64">
        <v>63</v>
      </c>
      <c r="D64">
        <v>2064</v>
      </c>
    </row>
    <row r="65" spans="3:4" x14ac:dyDescent="0.45">
      <c r="C65">
        <v>64</v>
      </c>
      <c r="D65">
        <v>1993</v>
      </c>
    </row>
    <row r="66" spans="3:4" x14ac:dyDescent="0.45">
      <c r="C66">
        <v>65</v>
      </c>
      <c r="D66">
        <v>1870</v>
      </c>
    </row>
    <row r="67" spans="3:4" x14ac:dyDescent="0.45">
      <c r="C67">
        <v>66</v>
      </c>
      <c r="D67">
        <v>2328</v>
      </c>
    </row>
    <row r="68" spans="3:4" x14ac:dyDescent="0.45">
      <c r="C68">
        <v>67</v>
      </c>
      <c r="D68">
        <v>1825</v>
      </c>
    </row>
    <row r="69" spans="3:4" x14ac:dyDescent="0.45">
      <c r="C69">
        <v>68</v>
      </c>
      <c r="D69">
        <v>2660</v>
      </c>
    </row>
    <row r="70" spans="3:4" x14ac:dyDescent="0.45">
      <c r="C70">
        <v>69</v>
      </c>
      <c r="D70">
        <v>2956</v>
      </c>
    </row>
    <row r="71" spans="3:4" x14ac:dyDescent="0.45">
      <c r="C71">
        <v>70</v>
      </c>
      <c r="D71">
        <v>2642</v>
      </c>
    </row>
    <row r="72" spans="3:4" x14ac:dyDescent="0.45">
      <c r="C72">
        <v>71</v>
      </c>
      <c r="D72">
        <v>2485</v>
      </c>
    </row>
    <row r="73" spans="3:4" x14ac:dyDescent="0.45">
      <c r="C73">
        <v>72</v>
      </c>
      <c r="D73">
        <v>2701</v>
      </c>
    </row>
    <row r="74" spans="3:4" x14ac:dyDescent="0.45">
      <c r="C74">
        <v>73</v>
      </c>
      <c r="D74">
        <v>2676</v>
      </c>
    </row>
    <row r="75" spans="3:4" x14ac:dyDescent="0.45">
      <c r="C75">
        <v>74</v>
      </c>
      <c r="D75">
        <v>2471</v>
      </c>
    </row>
    <row r="76" spans="3:4" x14ac:dyDescent="0.45">
      <c r="C76">
        <v>75</v>
      </c>
      <c r="D76">
        <v>2274</v>
      </c>
    </row>
    <row r="77" spans="3:4" x14ac:dyDescent="0.45">
      <c r="C77">
        <v>76</v>
      </c>
      <c r="D77">
        <v>2916</v>
      </c>
    </row>
    <row r="78" spans="3:4" x14ac:dyDescent="0.45">
      <c r="C78">
        <v>77</v>
      </c>
      <c r="D78">
        <v>2569</v>
      </c>
    </row>
    <row r="79" spans="3:4" x14ac:dyDescent="0.45">
      <c r="C79">
        <v>78</v>
      </c>
      <c r="D79">
        <v>2728</v>
      </c>
    </row>
    <row r="80" spans="3:4" x14ac:dyDescent="0.45">
      <c r="C80">
        <v>79</v>
      </c>
      <c r="D80">
        <v>2744</v>
      </c>
    </row>
    <row r="81" spans="3:4" x14ac:dyDescent="0.45">
      <c r="C81">
        <v>80</v>
      </c>
      <c r="D81">
        <v>2063</v>
      </c>
    </row>
    <row r="82" spans="3:4" x14ac:dyDescent="0.45">
      <c r="C82">
        <v>81</v>
      </c>
      <c r="D82">
        <v>2219</v>
      </c>
    </row>
    <row r="83" spans="3:4" x14ac:dyDescent="0.45">
      <c r="C83">
        <v>82</v>
      </c>
      <c r="D83">
        <v>2696</v>
      </c>
    </row>
    <row r="84" spans="3:4" x14ac:dyDescent="0.45">
      <c r="C84">
        <v>83</v>
      </c>
      <c r="D84">
        <v>2526</v>
      </c>
    </row>
    <row r="85" spans="3:4" x14ac:dyDescent="0.45">
      <c r="C85">
        <v>84</v>
      </c>
      <c r="D85">
        <v>2016</v>
      </c>
    </row>
    <row r="86" spans="3:4" x14ac:dyDescent="0.45">
      <c r="C86">
        <v>85</v>
      </c>
      <c r="D86">
        <v>2952</v>
      </c>
    </row>
    <row r="87" spans="3:4" x14ac:dyDescent="0.45">
      <c r="C87">
        <v>86</v>
      </c>
      <c r="D87">
        <v>2458</v>
      </c>
    </row>
    <row r="88" spans="3:4" x14ac:dyDescent="0.45">
      <c r="C88">
        <v>87</v>
      </c>
      <c r="D88">
        <v>2908</v>
      </c>
    </row>
    <row r="89" spans="3:4" x14ac:dyDescent="0.45">
      <c r="C89">
        <v>88</v>
      </c>
      <c r="D89">
        <v>1694</v>
      </c>
    </row>
    <row r="90" spans="3:4" x14ac:dyDescent="0.45">
      <c r="C90">
        <v>89</v>
      </c>
      <c r="D90">
        <v>2561</v>
      </c>
    </row>
    <row r="91" spans="3:4" x14ac:dyDescent="0.45">
      <c r="C91">
        <v>90</v>
      </c>
      <c r="D91">
        <v>1687</v>
      </c>
    </row>
    <row r="92" spans="3:4" x14ac:dyDescent="0.45">
      <c r="C92">
        <v>91</v>
      </c>
      <c r="D92">
        <v>1772</v>
      </c>
    </row>
    <row r="93" spans="3:4" x14ac:dyDescent="0.45">
      <c r="C93">
        <v>92</v>
      </c>
      <c r="D93">
        <v>1855</v>
      </c>
    </row>
    <row r="94" spans="3:4" x14ac:dyDescent="0.45">
      <c r="C94">
        <v>93</v>
      </c>
      <c r="D94">
        <v>2068</v>
      </c>
    </row>
    <row r="95" spans="3:4" x14ac:dyDescent="0.45">
      <c r="C95">
        <v>94</v>
      </c>
      <c r="D95">
        <v>2170</v>
      </c>
    </row>
    <row r="96" spans="3:4" x14ac:dyDescent="0.45">
      <c r="C96">
        <v>95</v>
      </c>
      <c r="D96">
        <v>1864</v>
      </c>
    </row>
    <row r="97" spans="3:4" x14ac:dyDescent="0.45">
      <c r="C97">
        <v>96</v>
      </c>
      <c r="D97">
        <v>1508</v>
      </c>
    </row>
    <row r="98" spans="3:4" x14ac:dyDescent="0.45">
      <c r="C98">
        <v>97</v>
      </c>
      <c r="D98">
        <v>1622</v>
      </c>
    </row>
    <row r="99" spans="3:4" x14ac:dyDescent="0.45">
      <c r="C99">
        <v>98</v>
      </c>
      <c r="D99">
        <v>1635</v>
      </c>
    </row>
    <row r="100" spans="3:4" x14ac:dyDescent="0.45">
      <c r="C100">
        <v>99</v>
      </c>
      <c r="D100">
        <v>1503</v>
      </c>
    </row>
    <row r="101" spans="3:4" x14ac:dyDescent="0.45">
      <c r="C101">
        <v>100</v>
      </c>
      <c r="D101">
        <v>1799</v>
      </c>
    </row>
    <row r="102" spans="3:4" x14ac:dyDescent="0.45">
      <c r="C102">
        <v>101</v>
      </c>
      <c r="D102">
        <v>2172</v>
      </c>
    </row>
    <row r="103" spans="3:4" x14ac:dyDescent="0.45">
      <c r="C103">
        <v>102</v>
      </c>
      <c r="D103">
        <v>1475</v>
      </c>
    </row>
    <row r="104" spans="3:4" x14ac:dyDescent="0.45">
      <c r="C104">
        <v>103</v>
      </c>
      <c r="D104">
        <v>1985</v>
      </c>
    </row>
    <row r="105" spans="3:4" x14ac:dyDescent="0.45">
      <c r="C105">
        <v>104</v>
      </c>
      <c r="D105">
        <v>1476</v>
      </c>
    </row>
  </sheetData>
  <sheetProtection selectLockedCells="1" selectUnlockedCells="1"/>
  <pageMargins left="0.7" right="0.7" top="0.75" bottom="0.75" header="0.3" footer="0.3"/>
  <pageSetup paperSize="9" orientation="portrait" verticalDpi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11"/>
  <sheetViews>
    <sheetView workbookViewId="0">
      <selection activeCell="C2" sqref="C2:M2"/>
    </sheetView>
  </sheetViews>
  <sheetFormatPr defaultColWidth="8.796875" defaultRowHeight="14.35" x14ac:dyDescent="0.45"/>
  <sheetData>
    <row r="1" spans="1:13" x14ac:dyDescent="0.45">
      <c r="A1">
        <v>0</v>
      </c>
      <c r="C1" s="6">
        <v>2056.4505433671293</v>
      </c>
      <c r="D1" s="6">
        <v>2043.0868461627829</v>
      </c>
      <c r="E1" s="6">
        <v>1955.3087276352267</v>
      </c>
      <c r="F1" s="6">
        <v>1831.2568299165591</v>
      </c>
      <c r="G1" s="6">
        <v>1739.4386691590032</v>
      </c>
      <c r="H1" s="6">
        <v>1616.6078176771739</v>
      </c>
      <c r="I1" s="6">
        <v>1721.8887003350583</v>
      </c>
      <c r="J1" s="6">
        <v>1912.1542516545214</v>
      </c>
      <c r="K1" s="6">
        <v>1864.1710631574881</v>
      </c>
      <c r="L1" s="6">
        <v>1898.8648878830434</v>
      </c>
      <c r="M1" s="6">
        <v>1810.0829292635281</v>
      </c>
    </row>
    <row r="2" spans="1:13" x14ac:dyDescent="0.45">
      <c r="A2">
        <v>0</v>
      </c>
      <c r="C2">
        <f>C1*Start!$O$4</f>
        <v>311.6769411502205</v>
      </c>
      <c r="D2">
        <f>D1*Start!$O$4</f>
        <v>309.65153077478368</v>
      </c>
      <c r="E2">
        <f>E1*Start!$O$4</f>
        <v>296.34782377787485</v>
      </c>
      <c r="F2">
        <f>F1*Start!$O$4</f>
        <v>277.54643993251983</v>
      </c>
      <c r="G2">
        <f>G1*Start!$O$4</f>
        <v>263.63042158758208</v>
      </c>
      <c r="H2">
        <f>H1*Start!$O$4</f>
        <v>245.01410027987384</v>
      </c>
      <c r="I2">
        <f>I1*Start!$O$4</f>
        <v>260.97053724561647</v>
      </c>
      <c r="J2">
        <f>J1*Start!$O$4</f>
        <v>289.80730418503111</v>
      </c>
      <c r="K2">
        <f>K1*Start!$O$4</f>
        <v>282.53494187822707</v>
      </c>
      <c r="L2">
        <f>L1*Start!$O$4</f>
        <v>287.79315983155448</v>
      </c>
      <c r="M2">
        <f>M1*Start!$O$4</f>
        <v>274.33731019728691</v>
      </c>
    </row>
    <row r="3" spans="1:13" x14ac:dyDescent="0.45">
      <c r="A3">
        <v>0</v>
      </c>
    </row>
    <row r="4" spans="1:13" x14ac:dyDescent="0.45">
      <c r="A4">
        <v>0</v>
      </c>
    </row>
    <row r="5" spans="1:13" x14ac:dyDescent="0.45">
      <c r="A5">
        <v>0</v>
      </c>
    </row>
    <row r="6" spans="1:13" x14ac:dyDescent="0.45">
      <c r="A6">
        <v>0</v>
      </c>
    </row>
    <row r="7" spans="1:13" x14ac:dyDescent="0.45">
      <c r="A7">
        <v>0</v>
      </c>
    </row>
    <row r="8" spans="1:13" x14ac:dyDescent="0.45">
      <c r="A8">
        <v>0</v>
      </c>
    </row>
    <row r="9" spans="1:13" x14ac:dyDescent="0.45">
      <c r="A9">
        <v>0</v>
      </c>
    </row>
    <row r="10" spans="1:13" x14ac:dyDescent="0.45">
      <c r="A10">
        <v>0</v>
      </c>
    </row>
    <row r="11" spans="1:13" x14ac:dyDescent="0.45">
      <c r="A11" s="1">
        <f>Start!Q4</f>
        <v>244.61885778823182</v>
      </c>
      <c r="B11" s="1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20"/>
  <sheetViews>
    <sheetView workbookViewId="0">
      <selection activeCell="C43" sqref="C43"/>
    </sheetView>
  </sheetViews>
  <sheetFormatPr defaultColWidth="8.796875" defaultRowHeight="14.35" x14ac:dyDescent="0.45"/>
  <cols>
    <col min="2" max="2" width="13.33203125" customWidth="1"/>
    <col min="8" max="8" width="8.796875" style="2"/>
  </cols>
  <sheetData>
    <row r="1" spans="1:12" x14ac:dyDescent="0.45">
      <c r="A1" t="s">
        <v>0</v>
      </c>
      <c r="B1" t="s">
        <v>1</v>
      </c>
      <c r="C1" t="s">
        <v>2</v>
      </c>
      <c r="D1" t="s">
        <v>4</v>
      </c>
      <c r="E1" t="s">
        <v>7</v>
      </c>
      <c r="F1" t="s">
        <v>5</v>
      </c>
      <c r="G1" t="s">
        <v>8</v>
      </c>
      <c r="H1" s="2" t="s">
        <v>3</v>
      </c>
      <c r="K1" t="s">
        <v>0</v>
      </c>
      <c r="L1" t="s">
        <v>16</v>
      </c>
    </row>
    <row r="2" spans="1:12" x14ac:dyDescent="0.45">
      <c r="A2">
        <v>1</v>
      </c>
      <c r="B2">
        <v>1525</v>
      </c>
      <c r="C2" s="1">
        <f>B2</f>
        <v>1525</v>
      </c>
      <c r="D2">
        <f>ABS((B2-C2)/B2)</f>
        <v>0</v>
      </c>
      <c r="E2">
        <f t="shared" ref="E2:E3" si="0">(B2-C2)^2</f>
        <v>0</v>
      </c>
      <c r="F2">
        <f>AVERAGE(D:D)</f>
        <v>0.11096938775510204</v>
      </c>
      <c r="G2">
        <f>SUM(E:E)</f>
        <v>189225</v>
      </c>
      <c r="H2" s="2">
        <v>0.21241198456673477</v>
      </c>
      <c r="K2">
        <v>1</v>
      </c>
      <c r="L2">
        <v>1525</v>
      </c>
    </row>
    <row r="3" spans="1:12" x14ac:dyDescent="0.45">
      <c r="A3">
        <v>2</v>
      </c>
      <c r="B3">
        <v>1960</v>
      </c>
      <c r="C3" s="1">
        <f t="shared" ref="C3" si="1">C2+alpha*(B2-C2)</f>
        <v>1525</v>
      </c>
      <c r="D3">
        <f t="shared" ref="D3" si="2">ABS((B3-C3)/B3)</f>
        <v>0.22193877551020408</v>
      </c>
      <c r="E3">
        <f t="shared" si="0"/>
        <v>189225</v>
      </c>
      <c r="K3">
        <v>2</v>
      </c>
      <c r="L3">
        <v>1960</v>
      </c>
    </row>
    <row r="4" spans="1:12" x14ac:dyDescent="0.45">
      <c r="A4">
        <v>3</v>
      </c>
      <c r="B4">
        <v>2062</v>
      </c>
      <c r="C4" s="1"/>
    </row>
    <row r="5" spans="1:12" x14ac:dyDescent="0.45">
      <c r="A5">
        <v>4</v>
      </c>
      <c r="B5">
        <v>2214</v>
      </c>
      <c r="C5" s="1"/>
    </row>
    <row r="6" spans="1:12" x14ac:dyDescent="0.45">
      <c r="A6">
        <v>5</v>
      </c>
      <c r="B6">
        <v>1622</v>
      </c>
      <c r="C6" s="1"/>
    </row>
    <row r="7" spans="1:12" x14ac:dyDescent="0.45">
      <c r="A7">
        <v>6</v>
      </c>
      <c r="B7">
        <v>1927</v>
      </c>
      <c r="C7" s="1"/>
    </row>
    <row r="8" spans="1:12" x14ac:dyDescent="0.45">
      <c r="A8">
        <v>7</v>
      </c>
      <c r="B8">
        <v>1952</v>
      </c>
      <c r="C8" s="1"/>
    </row>
    <row r="9" spans="1:12" x14ac:dyDescent="0.45">
      <c r="A9">
        <v>8</v>
      </c>
      <c r="B9">
        <v>2215</v>
      </c>
      <c r="C9" s="1"/>
    </row>
    <row r="10" spans="1:12" x14ac:dyDescent="0.45">
      <c r="A10">
        <v>9</v>
      </c>
      <c r="B10">
        <v>2010</v>
      </c>
      <c r="C10" s="1"/>
    </row>
    <row r="11" spans="1:12" x14ac:dyDescent="0.45">
      <c r="A11">
        <v>10</v>
      </c>
      <c r="B11">
        <v>2068</v>
      </c>
      <c r="C11" s="1"/>
    </row>
    <row r="12" spans="1:12" x14ac:dyDescent="0.45">
      <c r="A12">
        <v>11</v>
      </c>
      <c r="B12">
        <v>1866</v>
      </c>
      <c r="C12" s="1"/>
    </row>
    <row r="13" spans="1:12" x14ac:dyDescent="0.45">
      <c r="A13">
        <v>12</v>
      </c>
      <c r="B13">
        <v>1445</v>
      </c>
      <c r="C13" s="1"/>
    </row>
    <row r="14" spans="1:12" x14ac:dyDescent="0.45">
      <c r="A14">
        <v>13</v>
      </c>
      <c r="B14">
        <v>1724</v>
      </c>
      <c r="C14" s="1"/>
    </row>
    <row r="15" spans="1:12" x14ac:dyDescent="0.45">
      <c r="A15">
        <v>14</v>
      </c>
      <c r="B15">
        <v>2421</v>
      </c>
      <c r="C15" s="1"/>
    </row>
    <row r="16" spans="1:12" x14ac:dyDescent="0.45">
      <c r="A16">
        <v>15</v>
      </c>
      <c r="B16">
        <v>1797</v>
      </c>
      <c r="C16" s="1"/>
    </row>
    <row r="17" spans="1:3" x14ac:dyDescent="0.45">
      <c r="A17">
        <v>16</v>
      </c>
      <c r="B17">
        <v>2289</v>
      </c>
      <c r="C17" s="1"/>
    </row>
    <row r="18" spans="1:3" x14ac:dyDescent="0.45">
      <c r="A18">
        <v>17</v>
      </c>
      <c r="B18">
        <v>2072</v>
      </c>
      <c r="C18" s="1"/>
    </row>
    <row r="19" spans="1:3" x14ac:dyDescent="0.45">
      <c r="A19">
        <v>18</v>
      </c>
      <c r="B19">
        <v>2653</v>
      </c>
      <c r="C19" s="1"/>
    </row>
    <row r="20" spans="1:3" x14ac:dyDescent="0.45">
      <c r="A20">
        <v>19</v>
      </c>
      <c r="B20">
        <v>2558</v>
      </c>
      <c r="C20" s="1"/>
    </row>
    <row r="21" spans="1:3" x14ac:dyDescent="0.45">
      <c r="A21">
        <v>20</v>
      </c>
      <c r="B21">
        <v>1713</v>
      </c>
      <c r="C21" s="1"/>
    </row>
    <row r="22" spans="1:3" x14ac:dyDescent="0.45">
      <c r="A22">
        <v>21</v>
      </c>
      <c r="B22">
        <v>2207</v>
      </c>
      <c r="C22" s="1"/>
    </row>
    <row r="23" spans="1:3" x14ac:dyDescent="0.45">
      <c r="A23">
        <v>22</v>
      </c>
      <c r="B23">
        <v>2141</v>
      </c>
      <c r="C23" s="1"/>
    </row>
    <row r="24" spans="1:3" x14ac:dyDescent="0.45">
      <c r="A24">
        <v>23</v>
      </c>
      <c r="B24">
        <v>2546</v>
      </c>
      <c r="C24" s="1"/>
    </row>
    <row r="25" spans="1:3" x14ac:dyDescent="0.45">
      <c r="A25">
        <v>24</v>
      </c>
      <c r="B25">
        <v>2322</v>
      </c>
      <c r="C25" s="1"/>
    </row>
    <row r="26" spans="1:3" x14ac:dyDescent="0.45">
      <c r="A26">
        <v>25</v>
      </c>
      <c r="B26">
        <v>2296</v>
      </c>
      <c r="C26" s="1"/>
    </row>
    <row r="27" spans="1:3" x14ac:dyDescent="0.45">
      <c r="A27">
        <v>26</v>
      </c>
      <c r="B27">
        <v>2633</v>
      </c>
      <c r="C27" s="1"/>
    </row>
    <row r="28" spans="1:3" x14ac:dyDescent="0.45">
      <c r="A28">
        <v>27</v>
      </c>
      <c r="B28">
        <v>2574</v>
      </c>
      <c r="C28" s="1"/>
    </row>
    <row r="29" spans="1:3" x14ac:dyDescent="0.45">
      <c r="A29">
        <v>28</v>
      </c>
      <c r="B29">
        <v>2646</v>
      </c>
      <c r="C29" s="1"/>
    </row>
    <row r="30" spans="1:3" x14ac:dyDescent="0.45">
      <c r="A30">
        <v>29</v>
      </c>
      <c r="B30">
        <v>2015</v>
      </c>
      <c r="C30" s="1"/>
    </row>
    <row r="31" spans="1:3" x14ac:dyDescent="0.45">
      <c r="A31">
        <v>30</v>
      </c>
      <c r="B31">
        <v>1998</v>
      </c>
      <c r="C31" s="1"/>
    </row>
    <row r="32" spans="1:3" x14ac:dyDescent="0.45">
      <c r="A32">
        <v>31</v>
      </c>
      <c r="B32">
        <v>2976</v>
      </c>
      <c r="C32" s="1"/>
    </row>
    <row r="33" spans="1:3" x14ac:dyDescent="0.45">
      <c r="A33">
        <v>32</v>
      </c>
      <c r="B33">
        <v>1867</v>
      </c>
      <c r="C33" s="1"/>
    </row>
    <row r="34" spans="1:3" x14ac:dyDescent="0.45">
      <c r="A34">
        <v>33</v>
      </c>
      <c r="B34">
        <v>1846</v>
      </c>
      <c r="C34" s="1"/>
    </row>
    <row r="35" spans="1:3" x14ac:dyDescent="0.45">
      <c r="A35">
        <v>34</v>
      </c>
      <c r="B35">
        <v>2765</v>
      </c>
      <c r="C35" s="1"/>
    </row>
    <row r="36" spans="1:3" x14ac:dyDescent="0.45">
      <c r="A36">
        <v>35</v>
      </c>
      <c r="B36">
        <v>2088</v>
      </c>
      <c r="C36" s="1"/>
    </row>
    <row r="37" spans="1:3" x14ac:dyDescent="0.45">
      <c r="A37">
        <v>36</v>
      </c>
      <c r="B37">
        <v>2554</v>
      </c>
      <c r="C37" s="1"/>
    </row>
    <row r="38" spans="1:3" x14ac:dyDescent="0.45">
      <c r="A38">
        <v>37</v>
      </c>
      <c r="B38">
        <v>1980</v>
      </c>
      <c r="C38" s="1"/>
    </row>
    <row r="39" spans="1:3" x14ac:dyDescent="0.45">
      <c r="A39">
        <v>38</v>
      </c>
      <c r="B39">
        <v>2843</v>
      </c>
      <c r="C39" s="1"/>
    </row>
    <row r="40" spans="1:3" x14ac:dyDescent="0.45">
      <c r="A40">
        <v>39</v>
      </c>
      <c r="B40">
        <v>2328</v>
      </c>
      <c r="C40" s="1"/>
    </row>
    <row r="41" spans="1:3" x14ac:dyDescent="0.45">
      <c r="A41">
        <v>40</v>
      </c>
      <c r="B41">
        <v>2404</v>
      </c>
      <c r="C41" s="1"/>
    </row>
    <row r="42" spans="1:3" x14ac:dyDescent="0.45">
      <c r="A42">
        <v>41</v>
      </c>
      <c r="B42">
        <v>1614</v>
      </c>
      <c r="C42" s="1"/>
    </row>
    <row r="43" spans="1:3" x14ac:dyDescent="0.45">
      <c r="C43" s="1"/>
    </row>
    <row r="44" spans="1:3" x14ac:dyDescent="0.45">
      <c r="C44" s="1"/>
    </row>
    <row r="45" spans="1:3" x14ac:dyDescent="0.45">
      <c r="C45" s="1"/>
    </row>
    <row r="46" spans="1:3" x14ac:dyDescent="0.45">
      <c r="C46" s="1"/>
    </row>
    <row r="47" spans="1:3" x14ac:dyDescent="0.45">
      <c r="C47" s="1"/>
    </row>
    <row r="48" spans="1:3" x14ac:dyDescent="0.45">
      <c r="C48" s="1"/>
    </row>
    <row r="49" spans="3:3" x14ac:dyDescent="0.45">
      <c r="C49" s="1"/>
    </row>
    <row r="50" spans="3:3" x14ac:dyDescent="0.45">
      <c r="C50" s="1"/>
    </row>
    <row r="51" spans="3:3" x14ac:dyDescent="0.45">
      <c r="C51" s="1"/>
    </row>
    <row r="52" spans="3:3" x14ac:dyDescent="0.45">
      <c r="C52" s="1"/>
    </row>
    <row r="53" spans="3:3" x14ac:dyDescent="0.45">
      <c r="C53" s="1"/>
    </row>
    <row r="54" spans="3:3" x14ac:dyDescent="0.45">
      <c r="C54" s="1"/>
    </row>
    <row r="55" spans="3:3" x14ac:dyDescent="0.45">
      <c r="C55" s="1"/>
    </row>
    <row r="56" spans="3:3" x14ac:dyDescent="0.45">
      <c r="C56" s="1"/>
    </row>
    <row r="57" spans="3:3" x14ac:dyDescent="0.45">
      <c r="C57" s="1"/>
    </row>
    <row r="58" spans="3:3" x14ac:dyDescent="0.45">
      <c r="C58" s="1"/>
    </row>
    <row r="59" spans="3:3" x14ac:dyDescent="0.45">
      <c r="C59" s="1"/>
    </row>
    <row r="60" spans="3:3" x14ac:dyDescent="0.45">
      <c r="C60" s="1"/>
    </row>
    <row r="61" spans="3:3" x14ac:dyDescent="0.45">
      <c r="C61" s="1"/>
    </row>
    <row r="62" spans="3:3" x14ac:dyDescent="0.45">
      <c r="C62" s="1"/>
    </row>
    <row r="63" spans="3:3" x14ac:dyDescent="0.45">
      <c r="C63" s="1"/>
    </row>
    <row r="64" spans="3:3" x14ac:dyDescent="0.45">
      <c r="C64" s="1"/>
    </row>
    <row r="65" spans="3:3" x14ac:dyDescent="0.45">
      <c r="C65" s="1"/>
    </row>
    <row r="66" spans="3:3" x14ac:dyDescent="0.45">
      <c r="C66" s="1"/>
    </row>
    <row r="67" spans="3:3" x14ac:dyDescent="0.45">
      <c r="C67" s="1"/>
    </row>
    <row r="68" spans="3:3" x14ac:dyDescent="0.45">
      <c r="C68" s="1"/>
    </row>
    <row r="69" spans="3:3" x14ac:dyDescent="0.45">
      <c r="C69" s="1"/>
    </row>
    <row r="70" spans="3:3" x14ac:dyDescent="0.45">
      <c r="C70" s="1"/>
    </row>
    <row r="71" spans="3:3" x14ac:dyDescent="0.45">
      <c r="C71" s="1"/>
    </row>
    <row r="72" spans="3:3" x14ac:dyDescent="0.45">
      <c r="C72" s="1"/>
    </row>
    <row r="73" spans="3:3" x14ac:dyDescent="0.45">
      <c r="C73" s="1"/>
    </row>
    <row r="74" spans="3:3" x14ac:dyDescent="0.45">
      <c r="C74" s="1"/>
    </row>
    <row r="75" spans="3:3" x14ac:dyDescent="0.45">
      <c r="C75" s="1"/>
    </row>
    <row r="76" spans="3:3" x14ac:dyDescent="0.45">
      <c r="C76" s="1"/>
    </row>
    <row r="77" spans="3:3" x14ac:dyDescent="0.45">
      <c r="C77" s="1"/>
    </row>
    <row r="78" spans="3:3" x14ac:dyDescent="0.45">
      <c r="C78" s="1"/>
    </row>
    <row r="79" spans="3:3" x14ac:dyDescent="0.45">
      <c r="C79" s="1"/>
    </row>
    <row r="80" spans="3:3" x14ac:dyDescent="0.45">
      <c r="C80" s="1"/>
    </row>
    <row r="81" spans="3:3" x14ac:dyDescent="0.45">
      <c r="C81" s="1"/>
    </row>
    <row r="82" spans="3:3" x14ac:dyDescent="0.45">
      <c r="C82" s="1"/>
    </row>
    <row r="83" spans="3:3" x14ac:dyDescent="0.45">
      <c r="C83" s="1"/>
    </row>
    <row r="84" spans="3:3" x14ac:dyDescent="0.45">
      <c r="C84" s="1"/>
    </row>
    <row r="85" spans="3:3" x14ac:dyDescent="0.45">
      <c r="C85" s="1"/>
    </row>
    <row r="86" spans="3:3" x14ac:dyDescent="0.45">
      <c r="C86" s="1"/>
    </row>
    <row r="87" spans="3:3" x14ac:dyDescent="0.45">
      <c r="C87" s="1"/>
    </row>
    <row r="88" spans="3:3" x14ac:dyDescent="0.45">
      <c r="C88" s="1"/>
    </row>
    <row r="89" spans="3:3" x14ac:dyDescent="0.45">
      <c r="C89" s="1"/>
    </row>
    <row r="90" spans="3:3" x14ac:dyDescent="0.45">
      <c r="C90" s="1"/>
    </row>
    <row r="91" spans="3:3" x14ac:dyDescent="0.45">
      <c r="C91" s="1"/>
    </row>
    <row r="92" spans="3:3" x14ac:dyDescent="0.45">
      <c r="C92" s="1"/>
    </row>
    <row r="93" spans="3:3" x14ac:dyDescent="0.45">
      <c r="C93" s="1"/>
    </row>
    <row r="94" spans="3:3" x14ac:dyDescent="0.45">
      <c r="C94" s="1"/>
    </row>
    <row r="95" spans="3:3" x14ac:dyDescent="0.45">
      <c r="C95" s="1"/>
    </row>
    <row r="96" spans="3:3" x14ac:dyDescent="0.45">
      <c r="C96" s="1"/>
    </row>
    <row r="97" spans="3:3" x14ac:dyDescent="0.45">
      <c r="C97" s="1"/>
    </row>
    <row r="98" spans="3:3" x14ac:dyDescent="0.45">
      <c r="C98" s="1"/>
    </row>
    <row r="99" spans="3:3" x14ac:dyDescent="0.45">
      <c r="C99" s="1"/>
    </row>
    <row r="100" spans="3:3" x14ac:dyDescent="0.45">
      <c r="C100" s="1"/>
    </row>
    <row r="101" spans="3:3" x14ac:dyDescent="0.45">
      <c r="C101" s="1"/>
    </row>
    <row r="102" spans="3:3" x14ac:dyDescent="0.45">
      <c r="C102" s="1"/>
    </row>
    <row r="103" spans="3:3" x14ac:dyDescent="0.45">
      <c r="C103" s="1"/>
    </row>
    <row r="104" spans="3:3" x14ac:dyDescent="0.45">
      <c r="C104" s="1"/>
    </row>
    <row r="105" spans="3:3" x14ac:dyDescent="0.45">
      <c r="C105" s="1"/>
    </row>
    <row r="106" spans="3:3" x14ac:dyDescent="0.45">
      <c r="C106" s="1"/>
    </row>
    <row r="107" spans="3:3" x14ac:dyDescent="0.45">
      <c r="C107" s="1"/>
    </row>
    <row r="108" spans="3:3" x14ac:dyDescent="0.45">
      <c r="C108" s="1"/>
    </row>
    <row r="109" spans="3:3" x14ac:dyDescent="0.45">
      <c r="C109" s="1"/>
    </row>
    <row r="110" spans="3:3" x14ac:dyDescent="0.45">
      <c r="C110" s="1"/>
    </row>
    <row r="111" spans="3:3" x14ac:dyDescent="0.45">
      <c r="C111" s="1"/>
    </row>
    <row r="112" spans="3:3" x14ac:dyDescent="0.45">
      <c r="C112" s="1"/>
    </row>
    <row r="113" spans="3:3" x14ac:dyDescent="0.45">
      <c r="C113" s="1"/>
    </row>
    <row r="114" spans="3:3" x14ac:dyDescent="0.45">
      <c r="C114" s="1"/>
    </row>
    <row r="115" spans="3:3" x14ac:dyDescent="0.45">
      <c r="C115" s="1"/>
    </row>
    <row r="116" spans="3:3" x14ac:dyDescent="0.45">
      <c r="C116" s="1"/>
    </row>
    <row r="117" spans="3:3" x14ac:dyDescent="0.45">
      <c r="C117" s="1"/>
    </row>
    <row r="118" spans="3:3" x14ac:dyDescent="0.45">
      <c r="C118" s="1"/>
    </row>
    <row r="119" spans="3:3" x14ac:dyDescent="0.45">
      <c r="C119" s="1"/>
    </row>
    <row r="120" spans="3:3" x14ac:dyDescent="0.45">
      <c r="C120" s="1"/>
    </row>
  </sheetData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20"/>
  <sheetViews>
    <sheetView workbookViewId="0">
      <selection activeCell="L3" sqref="L3"/>
    </sheetView>
  </sheetViews>
  <sheetFormatPr defaultColWidth="8.796875" defaultRowHeight="14.35" x14ac:dyDescent="0.45"/>
  <cols>
    <col min="2" max="2" width="13.33203125" customWidth="1"/>
    <col min="12" max="12" width="22.3984375" style="29" bestFit="1" customWidth="1"/>
    <col min="14" max="14" width="23" customWidth="1"/>
  </cols>
  <sheetData>
    <row r="1" spans="1:15" x14ac:dyDescent="0.45">
      <c r="A1" t="s">
        <v>0</v>
      </c>
      <c r="B1" t="s">
        <v>1</v>
      </c>
      <c r="C1" t="s">
        <v>6</v>
      </c>
      <c r="D1" t="s">
        <v>9</v>
      </c>
      <c r="E1" t="s">
        <v>10</v>
      </c>
      <c r="F1" t="s">
        <v>11</v>
      </c>
      <c r="G1" t="s">
        <v>13</v>
      </c>
      <c r="H1" t="s">
        <v>4</v>
      </c>
      <c r="I1" t="s">
        <v>7</v>
      </c>
      <c r="J1" t="s">
        <v>5</v>
      </c>
      <c r="K1" t="s">
        <v>8</v>
      </c>
      <c r="L1" s="29" t="s">
        <v>12</v>
      </c>
    </row>
    <row r="2" spans="1:15" x14ac:dyDescent="0.45">
      <c r="A2">
        <v>1</v>
      </c>
      <c r="B2">
        <v>1525</v>
      </c>
      <c r="C2" s="1">
        <f>B2</f>
        <v>1525</v>
      </c>
      <c r="D2" s="1">
        <f t="shared" ref="D2:D3" si="0">B2-C2</f>
        <v>0</v>
      </c>
      <c r="E2">
        <v>0</v>
      </c>
      <c r="F2" s="1">
        <v>0</v>
      </c>
      <c r="G2">
        <f>IF(F2=0,0,ABS(E2/F2))</f>
        <v>0</v>
      </c>
      <c r="H2">
        <f t="shared" ref="H2:H3" si="1">ABS((B2-C2)/B2)</f>
        <v>0</v>
      </c>
      <c r="I2">
        <f t="shared" ref="I2:I3" si="2">(B2-C2)^2</f>
        <v>0</v>
      </c>
      <c r="J2">
        <f>AVERAGE(H:H)</f>
        <v>0.1515606305998958</v>
      </c>
      <c r="K2">
        <f>SUM(I:I)</f>
        <v>6561121.8215219034</v>
      </c>
      <c r="L2" s="29">
        <v>2.2972660511626934E-2</v>
      </c>
      <c r="N2" s="29">
        <v>1.3787174773607935E-7</v>
      </c>
      <c r="O2">
        <v>2140397.323586103</v>
      </c>
    </row>
    <row r="3" spans="1:15" x14ac:dyDescent="0.45">
      <c r="A3">
        <v>2</v>
      </c>
      <c r="B3">
        <v>1960</v>
      </c>
      <c r="C3" s="1">
        <f t="shared" ref="C3" si="3">C2+G2*(B2-C2)</f>
        <v>1525</v>
      </c>
      <c r="D3" s="1">
        <f t="shared" si="0"/>
        <v>435</v>
      </c>
      <c r="E3">
        <f t="shared" ref="E3" si="4">gamma*(D2-E2)+E2</f>
        <v>0</v>
      </c>
      <c r="F3">
        <f t="shared" ref="F3" si="5">gamma*(ABS(D2)-F2)+F2</f>
        <v>0</v>
      </c>
      <c r="G3">
        <f t="shared" ref="G3" si="6">IF(F3=0,0,ABS(E3/F3))</f>
        <v>0</v>
      </c>
      <c r="H3">
        <f t="shared" si="1"/>
        <v>0.22193877551020408</v>
      </c>
      <c r="I3">
        <f t="shared" si="2"/>
        <v>189225</v>
      </c>
      <c r="N3" s="29">
        <v>0.35227663945781951</v>
      </c>
      <c r="O3">
        <v>2146598.0425172034</v>
      </c>
    </row>
    <row r="4" spans="1:15" x14ac:dyDescent="0.45">
      <c r="A4">
        <v>3</v>
      </c>
      <c r="B4">
        <v>2062</v>
      </c>
      <c r="C4" s="1">
        <f t="shared" ref="C4" si="7">C3+G3*(B3-C3)</f>
        <v>1525</v>
      </c>
      <c r="D4" s="1">
        <f t="shared" ref="D4" si="8">B4-C4</f>
        <v>537</v>
      </c>
      <c r="E4">
        <f t="shared" ref="E4" si="9">gamma*(D3-E3)+E3</f>
        <v>9.9931073225577158</v>
      </c>
      <c r="F4">
        <f t="shared" ref="F4" si="10">gamma*(ABS(D3)-F3)+F3</f>
        <v>9.9931073225577158</v>
      </c>
      <c r="G4">
        <f t="shared" ref="G4" si="11">IF(F4=0,0,ABS(E4/F4))</f>
        <v>1</v>
      </c>
      <c r="H4">
        <f t="shared" ref="H4" si="12">ABS((B4-C4)/B4)</f>
        <v>0.26042677012609117</v>
      </c>
      <c r="I4">
        <f t="shared" ref="I4" si="13">(B4-C4)^2</f>
        <v>288369</v>
      </c>
      <c r="N4" s="29"/>
    </row>
    <row r="5" spans="1:15" x14ac:dyDescent="0.45">
      <c r="A5">
        <v>4</v>
      </c>
      <c r="B5">
        <v>2214</v>
      </c>
      <c r="C5" s="1">
        <f t="shared" ref="C5" si="14">C4+G4*(B4-C4)</f>
        <v>2062</v>
      </c>
      <c r="D5" s="1">
        <f t="shared" ref="D5" si="15">B5-C5</f>
        <v>152</v>
      </c>
      <c r="E5">
        <f t="shared" ref="E5" si="16">gamma*(D4-E4)+E4</f>
        <v>22.099857755324006</v>
      </c>
      <c r="F5">
        <f t="shared" ref="F5" si="17">gamma*(ABS(D4)-F4)+F4</f>
        <v>22.099857755324006</v>
      </c>
      <c r="G5">
        <f t="shared" ref="G5" si="18">IF(F5=0,0,ABS(E5/F5))</f>
        <v>1</v>
      </c>
      <c r="H5">
        <f t="shared" ref="H5" si="19">ABS((B5-C5)/B5)</f>
        <v>6.8654019873532063E-2</v>
      </c>
      <c r="I5">
        <f t="shared" ref="I5" si="20">(B5-C5)^2</f>
        <v>23104</v>
      </c>
      <c r="N5" s="29"/>
    </row>
    <row r="6" spans="1:15" x14ac:dyDescent="0.45">
      <c r="A6">
        <v>5</v>
      </c>
      <c r="B6">
        <v>1622</v>
      </c>
      <c r="C6" s="1">
        <f t="shared" ref="C6" si="21">C5+G5*(B5-C5)</f>
        <v>2214</v>
      </c>
      <c r="D6" s="1">
        <f t="shared" ref="D6" si="22">B6-C6</f>
        <v>-592</v>
      </c>
      <c r="E6">
        <f t="shared" ref="E6" si="23">gamma*(D5-E5)+E5</f>
        <v>25.084009623522995</v>
      </c>
      <c r="F6">
        <f t="shared" ref="F6" si="24">gamma*(ABS(D5)-F5)+F5</f>
        <v>25.084009623522995</v>
      </c>
      <c r="G6">
        <f t="shared" ref="G6" si="25">IF(F6=0,0,ABS(E6/F6))</f>
        <v>1</v>
      </c>
      <c r="H6">
        <f t="shared" ref="H6" si="26">ABS((B6-C6)/B6)</f>
        <v>0.36498150431565968</v>
      </c>
      <c r="I6">
        <f t="shared" ref="I6" si="27">(B6-C6)^2</f>
        <v>350464</v>
      </c>
    </row>
    <row r="7" spans="1:15" x14ac:dyDescent="0.45">
      <c r="A7">
        <v>6</v>
      </c>
      <c r="B7">
        <v>1927</v>
      </c>
      <c r="C7" s="1">
        <f t="shared" ref="C7" si="28">C6+G6*(B6-C6)</f>
        <v>1622</v>
      </c>
      <c r="D7" s="1">
        <f t="shared" ref="D7" si="29">B7-C7</f>
        <v>305</v>
      </c>
      <c r="E7">
        <f t="shared" ref="E7" si="30">gamma*(D6-E6)+E6</f>
        <v>10.907948163288273</v>
      </c>
      <c r="F7">
        <f t="shared" ref="F7" si="31">gamma*(ABS(D6)-F6)+F6</f>
        <v>38.107578209054566</v>
      </c>
      <c r="G7">
        <f t="shared" ref="G7" si="32">IF(F7=0,0,ABS(E7/F7))</f>
        <v>0.28624091784180833</v>
      </c>
      <c r="H7">
        <f t="shared" ref="H7" si="33">ABS((B7-C7)/B7)</f>
        <v>0.15827711468604047</v>
      </c>
      <c r="I7">
        <f t="shared" ref="I7" si="34">(B7-C7)^2</f>
        <v>93025</v>
      </c>
    </row>
    <row r="8" spans="1:15" x14ac:dyDescent="0.45">
      <c r="A8">
        <v>7</v>
      </c>
      <c r="B8">
        <v>1952</v>
      </c>
      <c r="C8" s="1">
        <f t="shared" ref="C8" si="35">C7+G7*(B7-C7)</f>
        <v>1709.3034799417514</v>
      </c>
      <c r="D8" s="1">
        <f t="shared" ref="D8" si="36">B8-C8</f>
        <v>242.69652005824855</v>
      </c>
      <c r="E8">
        <f t="shared" ref="E8" si="37">gamma*(D7-E7)+E7</f>
        <v>17.664025029300841</v>
      </c>
      <c r="F8">
        <f t="shared" ref="F8" si="38">gamma*(ABS(D7)-F7)+F7</f>
        <v>44.238807207983896</v>
      </c>
      <c r="G8">
        <f t="shared" ref="G8" si="39">IF(F8=0,0,ABS(E8/F8))</f>
        <v>0.39928800399738101</v>
      </c>
      <c r="H8">
        <f t="shared" ref="H8" si="40">ABS((B8-C8)/B8)</f>
        <v>0.12433223363639782</v>
      </c>
      <c r="I8">
        <f t="shared" ref="I8" si="41">(B8-C8)^2</f>
        <v>58901.600848383845</v>
      </c>
    </row>
    <row r="9" spans="1:15" x14ac:dyDescent="0.45">
      <c r="A9">
        <v>8</v>
      </c>
      <c r="B9">
        <v>2215</v>
      </c>
      <c r="C9" s="1">
        <f t="shared" ref="C9" si="42">C8+G8*(B8-C8)</f>
        <v>1806.20928901292</v>
      </c>
      <c r="D9" s="1">
        <f t="shared" ref="D9" si="43">B9-C9</f>
        <v>408.79071098708005</v>
      </c>
      <c r="E9">
        <f t="shared" ref="E9" si="44">gamma*(D8-E8)+E8</f>
        <v>22.833620141685234</v>
      </c>
      <c r="F9">
        <f t="shared" ref="F9" si="45">gamma*(ABS(D8)-F8)+F8</f>
        <v>48.797908871206971</v>
      </c>
      <c r="G9">
        <f t="shared" ref="G9" si="46">IF(F9=0,0,ABS(E9/F9))</f>
        <v>0.4679221030136832</v>
      </c>
      <c r="H9">
        <f t="shared" ref="H9" si="47">ABS((B9-C9)/B9)</f>
        <v>0.18455562572780138</v>
      </c>
      <c r="I9">
        <f t="shared" ref="I9" si="48">(B9-C9)^2</f>
        <v>167109.84538932241</v>
      </c>
    </row>
    <row r="10" spans="1:15" x14ac:dyDescent="0.45">
      <c r="A10">
        <v>9</v>
      </c>
      <c r="B10">
        <v>2010</v>
      </c>
      <c r="C10" s="1">
        <f t="shared" ref="C10" si="49">C9+G9*(B9-C9)</f>
        <v>1997.4914981904533</v>
      </c>
      <c r="D10" s="1">
        <f t="shared" ref="D10" si="50">B10-C10</f>
        <v>12.508501809546715</v>
      </c>
      <c r="E10">
        <f t="shared" ref="E10" si="51">gamma*(D9-E9)+E9</f>
        <v>31.700081361731645</v>
      </c>
      <c r="F10">
        <f t="shared" ref="F10" si="52">gamma*(ABS(D9)-F9)+F9</f>
        <v>57.06790130084422</v>
      </c>
      <c r="G10">
        <f t="shared" ref="G10" si="53">IF(F10=0,0,ABS(E10/F10))</f>
        <v>0.55548006215645951</v>
      </c>
      <c r="H10">
        <f t="shared" ref="H10" si="54">ABS((B10-C10)/B10)</f>
        <v>6.2231352286302062E-3</v>
      </c>
      <c r="I10">
        <f t="shared" ref="I10" si="55">(B10-C10)^2</f>
        <v>156.46261751943345</v>
      </c>
    </row>
    <row r="11" spans="1:15" x14ac:dyDescent="0.45">
      <c r="A11">
        <v>10</v>
      </c>
      <c r="B11">
        <v>2068</v>
      </c>
      <c r="C11" s="1">
        <f t="shared" ref="C11" si="56">C10+G10*(B10-C10)</f>
        <v>2004.4397215531044</v>
      </c>
      <c r="D11" s="1">
        <f t="shared" ref="D11" si="57">B11-C11</f>
        <v>63.560278446895609</v>
      </c>
      <c r="E11">
        <f t="shared" ref="E11" si="58">gamma*(D10-E10)+E10</f>
        <v>31.259199719997419</v>
      </c>
      <c r="F11">
        <f t="shared" ref="F11" si="59">gamma*(ABS(D10)-F10)+F10</f>
        <v>56.044253343728677</v>
      </c>
      <c r="G11">
        <f t="shared" ref="G11" si="60">IF(F11=0,0,ABS(E11/F11))</f>
        <v>0.55775923230307978</v>
      </c>
      <c r="H11">
        <f t="shared" ref="H11" si="61">ABS((B11-C11)/B11)</f>
        <v>3.0735144316680663E-2</v>
      </c>
      <c r="I11">
        <f t="shared" ref="I11" si="62">(B11-C11)^2</f>
        <v>4039.9089962469025</v>
      </c>
    </row>
    <row r="12" spans="1:15" x14ac:dyDescent="0.45">
      <c r="A12">
        <v>11</v>
      </c>
      <c r="B12">
        <v>1866</v>
      </c>
      <c r="C12" s="1">
        <f t="shared" ref="C12" si="63">C11+G11*(B11-C11)</f>
        <v>2039.8910536646149</v>
      </c>
      <c r="D12" s="1">
        <f t="shared" ref="D12" si="64">B12-C12</f>
        <v>-173.8910536646149</v>
      </c>
      <c r="E12">
        <f t="shared" ref="E12" si="65">gamma*(D11-E11)+E11</f>
        <v>32.001241435749783</v>
      </c>
      <c r="F12">
        <f t="shared" ref="F12" si="66">gamma*(ABS(D11)-F11)+F11</f>
        <v>56.216916436820597</v>
      </c>
      <c r="G12">
        <f t="shared" ref="G12" si="67">IF(F12=0,0,ABS(E12/F12))</f>
        <v>0.56924576202457478</v>
      </c>
      <c r="H12">
        <f t="shared" ref="H12" si="68">ABS((B12-C12)/B12)</f>
        <v>9.3189203464423845E-2</v>
      </c>
      <c r="I12">
        <f t="shared" ref="I12" si="69">(B12-C12)^2</f>
        <v>30238.098544589979</v>
      </c>
    </row>
    <row r="13" spans="1:15" x14ac:dyDescent="0.45">
      <c r="A13">
        <v>12</v>
      </c>
      <c r="B13">
        <v>1445</v>
      </c>
      <c r="C13" s="1">
        <f t="shared" ref="C13" si="70">C12+G12*(B12-C12)</f>
        <v>1940.904308312045</v>
      </c>
      <c r="D13" s="1">
        <f t="shared" ref="D13" si="71">B13-C13</f>
        <v>-495.90430831204503</v>
      </c>
      <c r="E13">
        <f t="shared" ref="E13" si="72">gamma*(D12-E12)+E12</f>
        <v>27.271347638449395</v>
      </c>
      <c r="F13">
        <f t="shared" ref="F13" si="73">gamma*(ABS(D12)-F12)+F12</f>
        <v>58.920204442353317</v>
      </c>
      <c r="G13">
        <f t="shared" ref="G13" si="74">IF(F13=0,0,ABS(E13/F13))</f>
        <v>0.46285222355484679</v>
      </c>
      <c r="H13">
        <f t="shared" ref="H13" si="75">ABS((B13-C13)/B13)</f>
        <v>0.34318637253428724</v>
      </c>
      <c r="I13">
        <f t="shared" ref="I13" si="76">(B13-C13)^2</f>
        <v>245921.08300244782</v>
      </c>
    </row>
    <row r="14" spans="1:15" x14ac:dyDescent="0.45">
      <c r="A14">
        <v>13</v>
      </c>
      <c r="B14">
        <v>1724</v>
      </c>
      <c r="C14" s="1">
        <f t="shared" ref="C14" si="77">C13+G13*(B13-C13)</f>
        <v>1711.3738965393868</v>
      </c>
      <c r="D14" s="1">
        <f t="shared" ref="D14" si="78">B14-C14</f>
        <v>12.626103460613194</v>
      </c>
      <c r="E14">
        <f t="shared" ref="E14" si="79">gamma*(D13-E13)+E13</f>
        <v>15.252610906350954</v>
      </c>
      <c r="F14">
        <f t="shared" ref="F14" si="80">gamma*(ABS(D13)-F13)+F13</f>
        <v>68.958891909529271</v>
      </c>
      <c r="G14">
        <f t="shared" ref="G14" si="81">IF(F14=0,0,ABS(E14/F14))</f>
        <v>0.22118410670463848</v>
      </c>
      <c r="H14">
        <f t="shared" ref="H14" si="82">ABS((B14-C14)/B14)</f>
        <v>7.323725905228071E-3</v>
      </c>
      <c r="I14">
        <f t="shared" ref="I14" si="83">(B14-C14)^2</f>
        <v>159.41848859810847</v>
      </c>
    </row>
    <row r="15" spans="1:15" x14ac:dyDescent="0.45">
      <c r="A15">
        <v>14</v>
      </c>
      <c r="B15">
        <v>2421</v>
      </c>
      <c r="C15" s="1">
        <f t="shared" ref="C15" si="84">C14+G14*(B14-C14)</f>
        <v>1714.1665899544828</v>
      </c>
      <c r="D15" s="1">
        <f t="shared" ref="D15" si="85">B15-C15</f>
        <v>706.83341004551721</v>
      </c>
      <c r="E15">
        <f t="shared" ref="E15" si="86">gamma*(D14-E14)+E14</f>
        <v>15.192273042468759</v>
      </c>
      <c r="F15">
        <f t="shared" ref="F15" si="87">gamma*(ABS(D14)-F14)+F14</f>
        <v>67.664777884819017</v>
      </c>
      <c r="G15">
        <f t="shared" ref="G15" si="88">IF(F15=0,0,ABS(E15/F15))</f>
        <v>0.22452261748837032</v>
      </c>
      <c r="H15">
        <f t="shared" ref="H15" si="89">ABS((B15-C15)/B15)</f>
        <v>0.2919592771770001</v>
      </c>
      <c r="I15">
        <f t="shared" ref="I15" si="90">(B15-C15)^2</f>
        <v>499613.46955657424</v>
      </c>
    </row>
    <row r="16" spans="1:15" x14ac:dyDescent="0.45">
      <c r="A16">
        <v>15</v>
      </c>
      <c r="B16">
        <v>1797</v>
      </c>
      <c r="C16" s="1">
        <f t="shared" ref="C16" si="91">C15+G15*(B15-C15)</f>
        <v>1872.8666773061329</v>
      </c>
      <c r="D16" s="1">
        <f t="shared" ref="D16" si="92">B16-C16</f>
        <v>-75.866677306132942</v>
      </c>
      <c r="E16">
        <f t="shared" ref="E16" si="93">gamma*(D15-E15)+E15</f>
        <v>31.081110078715447</v>
      </c>
      <c r="F16">
        <f t="shared" ref="F16" si="94">gamma*(ABS(D15)-F15)+F15</f>
        <v>82.348181881127687</v>
      </c>
      <c r="G16">
        <f t="shared" ref="G16" si="95">IF(F16=0,0,ABS(E16/F16))</f>
        <v>0.37743529205759579</v>
      </c>
      <c r="H16">
        <f t="shared" ref="H16" si="96">ABS((B16-C16)/B16)</f>
        <v>4.2218518256056173E-2</v>
      </c>
      <c r="I16">
        <f t="shared" ref="I16" si="97">(B16-C16)^2</f>
        <v>5755.7527254729075</v>
      </c>
    </row>
    <row r="17" spans="1:9" x14ac:dyDescent="0.45">
      <c r="A17">
        <v>16</v>
      </c>
      <c r="B17">
        <v>2289</v>
      </c>
      <c r="C17" s="1">
        <f t="shared" ref="C17" si="98">C16+G16*(B16-C16)</f>
        <v>1844.2319157996533</v>
      </c>
      <c r="D17" s="1">
        <f t="shared" ref="D17" si="99">B17-C17</f>
        <v>444.76808420034672</v>
      </c>
      <c r="E17">
        <f t="shared" ref="E17" si="100">gamma*(D16-E16)+E16</f>
        <v>28.624234866653666</v>
      </c>
      <c r="F17">
        <f t="shared" ref="F17" si="101">gamma*(ABS(D16)-F16)+F16</f>
        <v>82.199284476921775</v>
      </c>
      <c r="G17">
        <f t="shared" ref="G17" si="102">IF(F17=0,0,ABS(E17/F17))</f>
        <v>0.34822973276233554</v>
      </c>
      <c r="H17">
        <f t="shared" ref="H17" si="103">ABS((B17-C17)/B17)</f>
        <v>0.19430672092632009</v>
      </c>
      <c r="I17">
        <f t="shared" ref="I17" si="104">(B17-C17)^2</f>
        <v>197818.6487232467</v>
      </c>
    </row>
    <row r="18" spans="1:9" x14ac:dyDescent="0.45">
      <c r="A18">
        <v>17</v>
      </c>
      <c r="B18">
        <v>2072</v>
      </c>
      <c r="C18" s="1">
        <f t="shared" ref="C18" si="105">C17+G17*(B17-C17)</f>
        <v>1999.1133869019559</v>
      </c>
      <c r="D18" s="1">
        <f t="shared" ref="D18" si="106">B18-C18</f>
        <v>72.886613098044108</v>
      </c>
      <c r="E18">
        <f t="shared" ref="E18" si="107">gamma*(D17-E17)+E17</f>
        <v>38.184166241398223</v>
      </c>
      <c r="F18">
        <f t="shared" ref="F18" si="108">gamma*(ABS(D17)-F17)+F17</f>
        <v>90.528454425076077</v>
      </c>
      <c r="G18">
        <f t="shared" ref="G18" si="109">IF(F18=0,0,ABS(E18/F18))</f>
        <v>0.42179187178104899</v>
      </c>
      <c r="H18">
        <f t="shared" ref="H18" si="110">ABS((B18-C18)/B18)</f>
        <v>3.5176936823380363E-2</v>
      </c>
      <c r="I18">
        <f t="shared" ref="I18" si="111">(B18-C18)^2</f>
        <v>5312.4583689039746</v>
      </c>
    </row>
    <row r="19" spans="1:9" x14ac:dyDescent="0.45">
      <c r="A19">
        <v>18</v>
      </c>
      <c r="B19">
        <v>2653</v>
      </c>
      <c r="C19" s="1">
        <f t="shared" ref="C19" si="112">C18+G18*(B18-C18)</f>
        <v>2029.8563678683611</v>
      </c>
      <c r="D19" s="1">
        <f t="shared" ref="D19" si="113">B19-C19</f>
        <v>623.14363213163892</v>
      </c>
      <c r="E19">
        <f t="shared" ref="E19" si="114">gamma*(D18-E18)+E18</f>
        <v>38.981373771958722</v>
      </c>
      <c r="F19">
        <f t="shared" ref="F19" si="115">gamma*(ABS(D18)-F18)+F18</f>
        <v>90.12317439347018</v>
      </c>
      <c r="G19">
        <f t="shared" ref="G19" si="116">IF(F19=0,0,ABS(E19/F19))</f>
        <v>0.43253440676389548</v>
      </c>
      <c r="H19">
        <f t="shared" ref="H19" si="117">ABS((B19-C19)/B19)</f>
        <v>0.23488263555659214</v>
      </c>
      <c r="I19">
        <f t="shared" ref="I19" si="118">(B19-C19)^2</f>
        <v>388307.98626621132</v>
      </c>
    </row>
    <row r="20" spans="1:9" x14ac:dyDescent="0.45">
      <c r="A20">
        <v>19</v>
      </c>
      <c r="B20">
        <v>2558</v>
      </c>
      <c r="C20" s="1">
        <f t="shared" ref="C20" si="119">C19+G19*(B19-C19)</f>
        <v>2299.3874291211187</v>
      </c>
      <c r="D20" s="1">
        <f t="shared" ref="D20" si="120">B20-C20</f>
        <v>258.61257087888134</v>
      </c>
      <c r="E20">
        <f t="shared" ref="E20" si="121">gamma*(D19-E19)+E19</f>
        <v>52.401135016960957</v>
      </c>
      <c r="F20">
        <f t="shared" ref="F20" si="122">gamma*(ABS(D19)-F19)+F19</f>
        <v>102.36807241484112</v>
      </c>
      <c r="G20">
        <f t="shared" ref="G20" si="123">IF(F20=0,0,ABS(E20/F20))</f>
        <v>0.51188943760324179</v>
      </c>
      <c r="H20">
        <f t="shared" ref="H20" si="124">ABS((B20-C20)/B20)</f>
        <v>0.10109951949917176</v>
      </c>
      <c r="I20">
        <f t="shared" ref="I20" si="125">(B20-C20)^2</f>
        <v>66880.461816584429</v>
      </c>
    </row>
    <row r="21" spans="1:9" x14ac:dyDescent="0.45">
      <c r="A21">
        <v>20</v>
      </c>
      <c r="B21">
        <v>1713</v>
      </c>
      <c r="C21" s="1">
        <f t="shared" ref="C21" si="126">C20+G20*(B20-C20)</f>
        <v>2431.7684725854378</v>
      </c>
      <c r="D21" s="1">
        <f t="shared" ref="D21" si="127">B21-C21</f>
        <v>-718.76847258543785</v>
      </c>
      <c r="E21">
        <f t="shared" ref="E21" si="128">gamma*(D20-E20)+E20</f>
        <v>57.138360326631982</v>
      </c>
      <c r="F21">
        <f t="shared" ref="F21" si="129">gamma*(ABS(D20)-F20)+F20</f>
        <v>105.95742423486493</v>
      </c>
      <c r="G21">
        <f t="shared" ref="G21" si="130">IF(F21=0,0,ABS(E21/F21))</f>
        <v>0.53925773242636832</v>
      </c>
      <c r="H21">
        <f t="shared" ref="H21" si="131">ABS((B21-C21)/B21)</f>
        <v>0.41959630623785049</v>
      </c>
      <c r="I21">
        <f t="shared" ref="I21" si="132">(B21-C21)^2</f>
        <v>516628.11718280334</v>
      </c>
    </row>
    <row r="22" spans="1:9" x14ac:dyDescent="0.45">
      <c r="A22">
        <v>21</v>
      </c>
      <c r="B22">
        <v>2207</v>
      </c>
      <c r="C22" s="1">
        <f t="shared" ref="C22" si="133">C21+G21*(B21-C21)</f>
        <v>2044.1670159194505</v>
      </c>
      <c r="D22" s="1">
        <f t="shared" ref="D22" si="134">B22-C22</f>
        <v>162.83298408054952</v>
      </c>
      <c r="E22">
        <f t="shared" ref="E22" si="135">gamma*(D21-E21)+E21</f>
        <v>39.313716065491363</v>
      </c>
      <c r="F22">
        <f t="shared" ref="F22" si="136">gamma*(ABS(D21)-F21)+F21</f>
        <v>120.03532440639684</v>
      </c>
      <c r="G22">
        <f t="shared" ref="G22" si="137">IF(F22=0,0,ABS(E22/F22))</f>
        <v>0.32751788908729174</v>
      </c>
      <c r="H22">
        <f t="shared" ref="H22" si="138">ABS((B22-C22)/B22)</f>
        <v>7.3780237462867937E-2</v>
      </c>
      <c r="I22">
        <f t="shared" ref="I22" si="139">(B22-C22)^2</f>
        <v>26514.580704576496</v>
      </c>
    </row>
    <row r="23" spans="1:9" x14ac:dyDescent="0.45">
      <c r="A23">
        <v>22</v>
      </c>
      <c r="B23">
        <v>2141</v>
      </c>
      <c r="C23" s="1">
        <f t="shared" ref="C23" si="140">C22+G22*(B22-C22)</f>
        <v>2097.4977311392968</v>
      </c>
      <c r="D23" s="1">
        <f t="shared" ref="D23" si="141">B23-C23</f>
        <v>43.502268860703225</v>
      </c>
      <c r="E23">
        <f t="shared" ref="E23" si="142">gamma*(D22-E22)+E22</f>
        <v>42.151282276245951</v>
      </c>
      <c r="F23">
        <f t="shared" ref="F23" si="143">gamma*(ABS(D22)-F22)+F22</f>
        <v>121.01850051278329</v>
      </c>
      <c r="G23">
        <f t="shared" ref="G23" si="144">IF(F23=0,0,ABS(E23/F23))</f>
        <v>0.34830445012656119</v>
      </c>
      <c r="H23">
        <f t="shared" ref="H23" si="145">ABS((B23-C23)/B23)</f>
        <v>2.031866831420048E-2</v>
      </c>
      <c r="I23">
        <f t="shared" ref="I23" si="146">(B23-C23)^2</f>
        <v>1892.4473960289095</v>
      </c>
    </row>
    <row r="24" spans="1:9" x14ac:dyDescent="0.45">
      <c r="A24">
        <v>23</v>
      </c>
      <c r="B24">
        <v>2546</v>
      </c>
      <c r="C24" s="1">
        <f t="shared" ref="C24" si="147">C23+G23*(B23-C23)</f>
        <v>2112.6497649740818</v>
      </c>
      <c r="D24" s="1">
        <f t="shared" ref="D24" si="148">B24-C24</f>
        <v>433.35023502591821</v>
      </c>
      <c r="E24">
        <f t="shared" ref="E24" si="149">gamma*(D23-E23)+E23</f>
        <v>42.18231803240645</v>
      </c>
      <c r="F24">
        <f t="shared" ref="F24" si="150">gamma*(ABS(D23)-F23)+F23</f>
        <v>119.23774643889942</v>
      </c>
      <c r="G24">
        <f t="shared" ref="G24" si="151">IF(F24=0,0,ABS(E24/F24))</f>
        <v>0.35376648160674345</v>
      </c>
      <c r="H24">
        <f t="shared" ref="H24" si="152">ABS((B24-C24)/B24)</f>
        <v>0.17020826198975578</v>
      </c>
      <c r="I24">
        <f t="shared" ref="I24" si="153">(B24-C24)^2</f>
        <v>187792.42619701856</v>
      </c>
    </row>
    <row r="25" spans="1:9" x14ac:dyDescent="0.45">
      <c r="A25">
        <v>24</v>
      </c>
      <c r="B25">
        <v>2322</v>
      </c>
      <c r="C25" s="1">
        <f t="shared" ref="C25" si="154">C24+G24*(B24-C24)</f>
        <v>2265.9545529226561</v>
      </c>
      <c r="D25" s="1">
        <f t="shared" ref="D25" si="155">B25-C25</f>
        <v>56.045447077343852</v>
      </c>
      <c r="E25">
        <f t="shared" ref="E25" si="156">gamma*(D24-E24)+E24</f>
        <v>51.168485792538661</v>
      </c>
      <c r="F25">
        <f t="shared" ref="F25" si="157">gamma*(ABS(D24)-F24)+F24</f>
        <v>126.45374600167129</v>
      </c>
      <c r="G25">
        <f t="shared" ref="G25" si="158">IF(F25=0,0,ABS(E25/F25))</f>
        <v>0.40464191382564807</v>
      </c>
      <c r="H25">
        <f t="shared" ref="H25" si="159">ABS((B25-C25)/B25)</f>
        <v>2.4136712780940504E-2</v>
      </c>
      <c r="I25">
        <f t="shared" ref="I25" si="160">(B25-C25)^2</f>
        <v>3141.0921380993504</v>
      </c>
    </row>
    <row r="26" spans="1:9" x14ac:dyDescent="0.45">
      <c r="A26">
        <v>25</v>
      </c>
      <c r="B26">
        <v>2296</v>
      </c>
      <c r="C26" s="1">
        <f t="shared" ref="C26" si="161">C25+G25*(B25-C25)</f>
        <v>2288.6328898892466</v>
      </c>
      <c r="D26" s="1">
        <f t="shared" ref="D26" si="162">B26-C26</f>
        <v>7.3671101107534014</v>
      </c>
      <c r="E26">
        <f t="shared" ref="E26" si="163">gamma*(D25-E25)+E25</f>
        <v>51.280522568462835</v>
      </c>
      <c r="F26">
        <f t="shared" ref="F26" si="164">gamma*(ABS(D25)-F25)+F25</f>
        <v>124.83628005328157</v>
      </c>
      <c r="G26">
        <f t="shared" ref="G26" si="165">IF(F26=0,0,ABS(E26/F26))</f>
        <v>0.4107822064753589</v>
      </c>
      <c r="H26">
        <f t="shared" ref="H26" si="166">ABS((B26-C26)/B26)</f>
        <v>3.2086716510250006E-3</v>
      </c>
      <c r="I26">
        <f t="shared" ref="I26" si="167">(B26-C26)^2</f>
        <v>54.274311383964992</v>
      </c>
    </row>
    <row r="27" spans="1:9" x14ac:dyDescent="0.45">
      <c r="A27">
        <v>26</v>
      </c>
      <c r="B27">
        <v>2633</v>
      </c>
      <c r="C27" s="1">
        <f t="shared" ref="C27" si="168">C26+G26*(B26-C26)</f>
        <v>2291.6591676358889</v>
      </c>
      <c r="D27" s="1">
        <f t="shared" ref="D27" si="169">B27-C27</f>
        <v>341.34083236411107</v>
      </c>
      <c r="E27">
        <f t="shared" ref="E27" si="170">gamma*(D26-E26)+E26</f>
        <v>50.271714652164825</v>
      </c>
      <c r="F27">
        <f t="shared" ref="F27" si="171">gamma*(ABS(D26)-F26)+F26</f>
        <v>122.13770069160925</v>
      </c>
      <c r="G27">
        <f t="shared" ref="G27" si="172">IF(F27=0,0,ABS(E27/F27))</f>
        <v>0.41159866582962817</v>
      </c>
      <c r="H27">
        <f t="shared" ref="H27" si="173">ABS((B27-C27)/B27)</f>
        <v>0.12963951096244247</v>
      </c>
      <c r="I27">
        <f t="shared" ref="I27" si="174">(B27-C27)^2</f>
        <v>116513.56383902417</v>
      </c>
    </row>
    <row r="28" spans="1:9" x14ac:dyDescent="0.45">
      <c r="A28">
        <v>27</v>
      </c>
      <c r="B28">
        <v>2574</v>
      </c>
      <c r="C28" s="1">
        <f t="shared" ref="C28" si="175">C27+G27*(B27-C27)</f>
        <v>2432.1545988301318</v>
      </c>
      <c r="D28" s="1">
        <f t="shared" ref="D28" si="176">B28-C28</f>
        <v>141.84540116986818</v>
      </c>
      <c r="E28">
        <f t="shared" ref="E28" si="177">gamma*(D27-E27)+E27</f>
        <v>56.958346678780146</v>
      </c>
      <c r="F28">
        <f t="shared" ref="F28" si="178">gamma*(ABS(D27)-F27)+F27</f>
        <v>127.17337981860709</v>
      </c>
      <c r="G28">
        <f t="shared" ref="G28" si="179">IF(F28=0,0,ABS(E28/F28))</f>
        <v>0.44787947572064457</v>
      </c>
      <c r="H28">
        <f t="shared" ref="H28" si="180">ABS((B28-C28)/B28)</f>
        <v>5.5106993461487251E-2</v>
      </c>
      <c r="I28">
        <f t="shared" ref="I28" si="181">(B28-C28)^2</f>
        <v>20120.11783304084</v>
      </c>
    </row>
    <row r="29" spans="1:9" x14ac:dyDescent="0.45">
      <c r="A29">
        <v>28</v>
      </c>
      <c r="B29">
        <v>2646</v>
      </c>
      <c r="C29" s="1">
        <f t="shared" ref="C29" si="182">C28+G28*(B28-C28)</f>
        <v>2495.6842427394768</v>
      </c>
      <c r="D29" s="1">
        <f t="shared" ref="D29" si="183">B29-C29</f>
        <v>150.31575726052324</v>
      </c>
      <c r="E29">
        <f t="shared" ref="E29" si="184">gamma*(D28-E28)+E28</f>
        <v>58.908428163435886</v>
      </c>
      <c r="F29">
        <f t="shared" ref="F29" si="185">gamma*(ABS(D28)-F28)+F28</f>
        <v>127.51043518412895</v>
      </c>
      <c r="G29">
        <f t="shared" ref="G29" si="186">IF(F29=0,0,ABS(E29/F29))</f>
        <v>0.46198907625380087</v>
      </c>
      <c r="H29">
        <f t="shared" ref="H29" si="187">ABS((B29-C29)/B29)</f>
        <v>5.6808676213349674E-2</v>
      </c>
      <c r="I29">
        <f t="shared" ref="I29" si="188">(B29-C29)^2</f>
        <v>22594.826880804547</v>
      </c>
    </row>
    <row r="30" spans="1:9" x14ac:dyDescent="0.45">
      <c r="A30">
        <v>29</v>
      </c>
      <c r="B30">
        <v>2015</v>
      </c>
      <c r="C30" s="1">
        <f t="shared" ref="C30" si="189">C29+G29*(B29-C29)</f>
        <v>2565.1284805826563</v>
      </c>
      <c r="D30" s="1">
        <f t="shared" ref="D30" si="190">B30-C30</f>
        <v>-550.12848058265627</v>
      </c>
      <c r="E30">
        <f t="shared" ref="E30" si="191">gamma*(D29-E29)+E29</f>
        <v>61.008297703057835</v>
      </c>
      <c r="F30">
        <f t="shared" ref="F30" si="192">gamma*(ABS(D29)-F29)+F29</f>
        <v>128.03433410604828</v>
      </c>
      <c r="G30">
        <f t="shared" ref="G30" si="193">IF(F30=0,0,ABS(E30/F30))</f>
        <v>0.47649951186160644</v>
      </c>
      <c r="H30">
        <f t="shared" ref="H30" si="194">ABS((B30-C30)/B30)</f>
        <v>0.27301661567377483</v>
      </c>
      <c r="I30">
        <f t="shared" ref="I30" si="195">(B30-C30)^2</f>
        <v>302641.34514818201</v>
      </c>
    </row>
    <row r="31" spans="1:9" x14ac:dyDescent="0.45">
      <c r="A31">
        <v>30</v>
      </c>
      <c r="B31">
        <v>1998</v>
      </c>
      <c r="C31" s="1">
        <f t="shared" ref="C31" si="196">C30+G30*(B30-C30)</f>
        <v>2302.9925281238534</v>
      </c>
      <c r="D31" s="1">
        <f t="shared" ref="D31" si="197">B31-C31</f>
        <v>-304.99252812385339</v>
      </c>
      <c r="E31">
        <f t="shared" ref="E31" si="198">gamma*(D30-E30)+E30</f>
        <v>46.968859969330708</v>
      </c>
      <c r="F31">
        <f t="shared" ref="F31" si="199">gamma*(ABS(D30)-F30)+F30</f>
        <v>137.73095963700032</v>
      </c>
      <c r="G31">
        <f t="shared" ref="G31" si="200">IF(F31=0,0,ABS(E31/F31))</f>
        <v>0.34101889722630596</v>
      </c>
      <c r="H31">
        <f t="shared" ref="H31" si="201">ABS((B31-C31)/B31)</f>
        <v>0.1526489129749016</v>
      </c>
      <c r="I31">
        <f t="shared" ref="I31" si="202">(B31-C31)^2</f>
        <v>93020.442211379501</v>
      </c>
    </row>
    <row r="32" spans="1:9" x14ac:dyDescent="0.45">
      <c r="A32">
        <v>31</v>
      </c>
      <c r="B32">
        <v>2976</v>
      </c>
      <c r="C32" s="1">
        <f t="shared" ref="C32" si="203">C31+G31*(B31-C31)</f>
        <v>2198.984312520794</v>
      </c>
      <c r="D32" s="1">
        <f t="shared" ref="D32" si="204">B32-C32</f>
        <v>777.01568747920601</v>
      </c>
      <c r="E32">
        <f t="shared" ref="E32" si="205">gamma*(D31-E31)+E31</f>
        <v>38.883370487465015</v>
      </c>
      <c r="F32">
        <f t="shared" ref="F32" si="206">gamma*(ABS(D31)-F31)+F31</f>
        <v>141.57340286649105</v>
      </c>
      <c r="G32">
        <f t="shared" ref="G32" si="207">IF(F32=0,0,ABS(E32/F32))</f>
        <v>0.27465166267235569</v>
      </c>
      <c r="H32">
        <f t="shared" ref="H32" si="208">ABS((B32-C32)/B32)</f>
        <v>0.26109398100779774</v>
      </c>
      <c r="I32">
        <f t="shared" ref="I32" si="209">(B32-C32)^2</f>
        <v>603753.37858878309</v>
      </c>
    </row>
    <row r="33" spans="1:9" x14ac:dyDescent="0.45">
      <c r="A33">
        <v>32</v>
      </c>
      <c r="B33">
        <v>1867</v>
      </c>
      <c r="C33" s="1">
        <f t="shared" ref="C33" si="210">C32+G32*(B32-C32)</f>
        <v>2412.3929630094613</v>
      </c>
      <c r="D33" s="1">
        <f t="shared" ref="D33" si="211">B33-C33</f>
        <v>-545.39296300946125</v>
      </c>
      <c r="E33">
        <f t="shared" ref="E33" si="212">gamma*(D32-E32)+E32</f>
        <v>55.840233618376878</v>
      </c>
      <c r="F33">
        <f t="shared" ref="F33" si="213">gamma*(ABS(D32)-F32)+F32</f>
        <v>156.17120274563158</v>
      </c>
      <c r="G33">
        <f t="shared" ref="G33" si="214">IF(F33=0,0,ABS(E33/F33))</f>
        <v>0.35755781243055607</v>
      </c>
      <c r="H33">
        <f t="shared" ref="H33" si="215">ABS((B33-C33)/B33)</f>
        <v>0.29212263685563</v>
      </c>
      <c r="I33">
        <f t="shared" ref="I33" si="216">(B33-C33)^2</f>
        <v>297453.48410023958</v>
      </c>
    </row>
    <row r="34" spans="1:9" x14ac:dyDescent="0.45">
      <c r="A34">
        <v>33</v>
      </c>
      <c r="B34">
        <v>1846</v>
      </c>
      <c r="C34" s="1">
        <f t="shared" ref="C34" si="217">C33+G33*(B33-C33)</f>
        <v>2217.3834482407792</v>
      </c>
      <c r="D34" s="1">
        <f t="shared" ref="D34" si="218">B34-C34</f>
        <v>-371.38344824077922</v>
      </c>
      <c r="E34">
        <f t="shared" ref="E34" si="219">gamma*(D33-E33)+E33</f>
        <v>42.028307503925312</v>
      </c>
      <c r="F34">
        <f t="shared" ref="F34" si="220">gamma*(ABS(D33)-F33)+F33</f>
        <v>165.11266210791038</v>
      </c>
      <c r="G34">
        <f t="shared" ref="G34" si="221">IF(F34=0,0,ABS(E34/F34))</f>
        <v>0.25454321290306287</v>
      </c>
      <c r="H34">
        <f t="shared" ref="H34" si="222">ABS((B34-C34)/B34)</f>
        <v>0.20118279969706349</v>
      </c>
      <c r="I34">
        <f t="shared" ref="I34" si="223">(B34-C34)^2</f>
        <v>137925.66562721154</v>
      </c>
    </row>
    <row r="35" spans="1:9" x14ac:dyDescent="0.45">
      <c r="A35">
        <v>34</v>
      </c>
      <c r="B35">
        <v>2765</v>
      </c>
      <c r="C35" s="1">
        <f t="shared" ref="C35" si="224">C34+G34*(B34-C34)</f>
        <v>2122.8503121065528</v>
      </c>
      <c r="D35" s="1">
        <f t="shared" ref="D35" si="225">B35-C35</f>
        <v>642.14968789344721</v>
      </c>
      <c r="E35">
        <f t="shared" ref="E35" si="226">gamma*(D34-E34)+E34</f>
        <v>32.531139587686582</v>
      </c>
      <c r="F35">
        <f t="shared" ref="F35" si="227">gamma*(ABS(D34)-F34)+F34</f>
        <v>169.85125085120717</v>
      </c>
      <c r="G35">
        <f t="shared" ref="G35" si="228">IF(F35=0,0,ABS(E35/F35))</f>
        <v>0.1915272300007049</v>
      </c>
      <c r="H35">
        <f t="shared" ref="H35" si="229">ABS((B35-C35)/B35)</f>
        <v>0.232242201769782</v>
      </c>
      <c r="I35">
        <f t="shared" ref="I35" si="230">(B35-C35)^2</f>
        <v>412356.22166165168</v>
      </c>
    </row>
    <row r="36" spans="1:9" x14ac:dyDescent="0.45">
      <c r="A36">
        <v>35</v>
      </c>
      <c r="B36">
        <v>2088</v>
      </c>
      <c r="C36" s="1">
        <f t="shared" ref="C36" si="231">C35+G35*(B35-C35)</f>
        <v>2245.839463074602</v>
      </c>
      <c r="D36" s="1">
        <f t="shared" ref="D36" si="232">B36-C36</f>
        <v>-157.83946307460201</v>
      </c>
      <c r="E36">
        <f t="shared" ref="E36" si="233">gamma*(D35-E35)+E35</f>
        <v>46.535699539505664</v>
      </c>
      <c r="F36">
        <f t="shared" ref="F36" si="234">gamma*(ABS(D35)-F35)+F35</f>
        <v>180.70120250555055</v>
      </c>
      <c r="G36">
        <f t="shared" ref="G36" si="235">IF(F36=0,0,ABS(E36/F36))</f>
        <v>0.25752844416226967</v>
      </c>
      <c r="H36">
        <f t="shared" ref="H36" si="236">ABS((B36-C36)/B36)</f>
        <v>7.5593612583621655E-2</v>
      </c>
      <c r="I36">
        <f t="shared" ref="I36" si="237">(B36-C36)^2</f>
        <v>24913.296103678651</v>
      </c>
    </row>
    <row r="37" spans="1:9" x14ac:dyDescent="0.45">
      <c r="A37">
        <v>36</v>
      </c>
      <c r="B37">
        <v>2554</v>
      </c>
      <c r="C37" s="1">
        <f t="shared" ref="C37" si="238">C36+G36*(B36-C36)</f>
        <v>2205.1913117215918</v>
      </c>
      <c r="D37" s="1">
        <f t="shared" ref="D37" si="239">B37-C37</f>
        <v>348.80868827840823</v>
      </c>
      <c r="E37">
        <f t="shared" ref="E37" si="240">gamma*(D36-E36)+E36</f>
        <v>41.840658311763221</v>
      </c>
      <c r="F37">
        <f t="shared" ref="F37" si="241">gamma*(ABS(D36)-F36)+F36</f>
        <v>180.1760075268981</v>
      </c>
      <c r="G37">
        <f t="shared" ref="G37" si="242">IF(F37=0,0,ABS(E37/F37))</f>
        <v>0.23222103145734826</v>
      </c>
      <c r="H37">
        <f t="shared" ref="H37" si="243">ABS((B37-C37)/B37)</f>
        <v>0.13657348797118568</v>
      </c>
      <c r="I37">
        <f t="shared" ref="I37" si="244">(B37-C37)^2</f>
        <v>121667.50101850375</v>
      </c>
    </row>
    <row r="38" spans="1:9" x14ac:dyDescent="0.45">
      <c r="A38">
        <v>37</v>
      </c>
      <c r="B38">
        <v>1980</v>
      </c>
      <c r="C38" s="1">
        <f t="shared" ref="C38" si="245">C37+G37*(B37-C37)</f>
        <v>2286.1920250948883</v>
      </c>
      <c r="D38" s="1">
        <f t="shared" ref="D38" si="246">B38-C38</f>
        <v>-306.19202509488832</v>
      </c>
      <c r="E38">
        <f t="shared" ref="E38" si="247">gamma*(D37-E37)+E37</f>
        <v>48.892530652109883</v>
      </c>
      <c r="F38">
        <f t="shared" ref="F38" si="248">gamma*(ABS(D37)-F37)+F37</f>
        <v>184.0499488529681</v>
      </c>
      <c r="G38">
        <f t="shared" ref="G38" si="249">IF(F38=0,0,ABS(E38/F38))</f>
        <v>0.26564816212564468</v>
      </c>
      <c r="H38">
        <f t="shared" ref="H38" si="250">ABS((B38-C38)/B38)</f>
        <v>0.15464243691661025</v>
      </c>
      <c r="I38">
        <f t="shared" ref="I38" si="251">(B38-C38)^2</f>
        <v>93753.556231708717</v>
      </c>
    </row>
    <row r="39" spans="1:9" x14ac:dyDescent="0.45">
      <c r="A39">
        <v>38</v>
      </c>
      <c r="B39">
        <v>2843</v>
      </c>
      <c r="C39" s="1">
        <f t="shared" ref="C39" si="252">C38+G38*(B38-C38)</f>
        <v>2204.8526763709019</v>
      </c>
      <c r="D39" s="1">
        <f t="shared" ref="D39" si="253">B39-C39</f>
        <v>638.14732362909808</v>
      </c>
      <c r="E39">
        <f t="shared" ref="E39" si="254">gamma*(D38-E38)+E38</f>
        <v>40.735293700012221</v>
      </c>
      <c r="F39">
        <f t="shared" ref="F39" si="255">gamma*(ABS(D38)-F38)+F38</f>
        <v>186.85587730465897</v>
      </c>
      <c r="G39">
        <f t="shared" ref="G39" si="256">IF(F39=0,0,ABS(E39/F39))</f>
        <v>0.21800381281877157</v>
      </c>
      <c r="H39">
        <f t="shared" ref="H39" si="257">ABS((B39-C39)/B39)</f>
        <v>0.22446265340453678</v>
      </c>
      <c r="I39">
        <f t="shared" ref="I39" si="258">(B39-C39)^2</f>
        <v>407232.00665498083</v>
      </c>
    </row>
    <row r="40" spans="1:9" x14ac:dyDescent="0.45">
      <c r="A40">
        <v>39</v>
      </c>
      <c r="B40">
        <v>2328</v>
      </c>
      <c r="C40" s="1">
        <f t="shared" ref="C40" si="259">C39+G39*(B39-C39)</f>
        <v>2343.97122606214</v>
      </c>
      <c r="D40" s="1">
        <f t="shared" ref="D40" si="260">B40-C40</f>
        <v>-15.971226062139976</v>
      </c>
      <c r="E40">
        <f t="shared" ref="E40" si="261">gamma*(D39-E39)+E39</f>
        <v>54.459437449135024</v>
      </c>
      <c r="F40">
        <f t="shared" ref="F40" si="262">gamma*(ABS(D39)-F39)+F39</f>
        <v>197.22324249287144</v>
      </c>
      <c r="G40">
        <f t="shared" ref="G40" si="263">IF(F40=0,0,ABS(E40/F40))</f>
        <v>0.27613093041558445</v>
      </c>
      <c r="H40">
        <f t="shared" ref="H40" si="264">ABS((B40-C40)/B40)</f>
        <v>6.8604922947336664E-3</v>
      </c>
      <c r="I40">
        <f t="shared" ref="I40" si="265">(B40-C40)^2</f>
        <v>255.08006192797922</v>
      </c>
    </row>
    <row r="41" spans="1:9" x14ac:dyDescent="0.45">
      <c r="A41">
        <v>40</v>
      </c>
      <c r="B41">
        <v>2404</v>
      </c>
      <c r="C41" s="1">
        <f t="shared" ref="C41" si="266">C40+G40*(B40-C40)</f>
        <v>2339.5610765497236</v>
      </c>
      <c r="D41" s="1">
        <f t="shared" ref="D41" si="267">B41-C41</f>
        <v>64.438923450276434</v>
      </c>
      <c r="E41">
        <f t="shared" ref="E41" si="268">gamma*(D40-E40)+E40</f>
        <v>52.841457726681874</v>
      </c>
      <c r="F41">
        <f t="shared" ref="F41" si="269">gamma*(ABS(D40)-F40)+F40</f>
        <v>193.05940145236042</v>
      </c>
      <c r="G41">
        <f t="shared" ref="G41" si="270">IF(F41=0,0,ABS(E41/F41))</f>
        <v>0.27370569539303735</v>
      </c>
      <c r="H41">
        <f t="shared" ref="H41" si="271">ABS((B41-C41)/B41)</f>
        <v>2.6804876643209831E-2</v>
      </c>
      <c r="I41">
        <f t="shared" ref="I41" si="272">(B41-C41)^2</f>
        <v>4152.3748554305857</v>
      </c>
    </row>
    <row r="42" spans="1:9" x14ac:dyDescent="0.45">
      <c r="A42">
        <v>41</v>
      </c>
      <c r="B42">
        <v>1614</v>
      </c>
      <c r="C42" s="1">
        <f t="shared" ref="C42:C43" si="273">C41+G41*(B41-C41)</f>
        <v>2357.1983769030603</v>
      </c>
      <c r="D42" s="1">
        <f t="shared" ref="D42" si="274">B42-C42</f>
        <v>-743.19837690306031</v>
      </c>
      <c r="E42">
        <f t="shared" ref="E42" si="275">gamma*(D41-E41)+E41</f>
        <v>53.107882369545244</v>
      </c>
      <c r="F42">
        <f t="shared" ref="F42" si="276">gamma*(ABS(D41)-F41)+F41</f>
        <v>190.10464687637537</v>
      </c>
      <c r="G42">
        <f t="shared" ref="G42" si="277">IF(F42=0,0,ABS(E42/F42))</f>
        <v>0.27936130569223372</v>
      </c>
      <c r="H42">
        <f t="shared" ref="H42" si="278">ABS((B42-C42)/B42)</f>
        <v>0.46046987416546487</v>
      </c>
      <c r="I42">
        <f t="shared" ref="I42" si="279">(B42-C42)^2</f>
        <v>552343.82743134326</v>
      </c>
    </row>
    <row r="43" spans="1:9" x14ac:dyDescent="0.45">
      <c r="A43">
        <v>42</v>
      </c>
      <c r="C43" s="1">
        <f t="shared" si="273"/>
        <v>2149.5775079430723</v>
      </c>
      <c r="D43" s="1"/>
    </row>
    <row r="44" spans="1:9" x14ac:dyDescent="0.45">
      <c r="C44" s="1"/>
      <c r="D44" s="1"/>
    </row>
    <row r="45" spans="1:9" x14ac:dyDescent="0.45">
      <c r="C45" s="1"/>
      <c r="D45" s="1"/>
    </row>
    <row r="46" spans="1:9" x14ac:dyDescent="0.45">
      <c r="C46" s="1"/>
      <c r="D46" s="1"/>
    </row>
    <row r="47" spans="1:9" x14ac:dyDescent="0.45">
      <c r="C47" s="1"/>
      <c r="D47" s="1"/>
    </row>
    <row r="48" spans="1:9" x14ac:dyDescent="0.45">
      <c r="C48" s="1"/>
      <c r="D48" s="1"/>
    </row>
    <row r="49" spans="3:4" x14ac:dyDescent="0.45">
      <c r="C49" s="1"/>
      <c r="D49" s="1"/>
    </row>
    <row r="50" spans="3:4" x14ac:dyDescent="0.45">
      <c r="C50" s="1"/>
      <c r="D50" s="1"/>
    </row>
    <row r="51" spans="3:4" x14ac:dyDescent="0.45">
      <c r="C51" s="1"/>
      <c r="D51" s="1"/>
    </row>
    <row r="52" spans="3:4" x14ac:dyDescent="0.45">
      <c r="C52" s="1"/>
      <c r="D52" s="1"/>
    </row>
    <row r="53" spans="3:4" x14ac:dyDescent="0.45">
      <c r="C53" s="1"/>
      <c r="D53" s="1"/>
    </row>
    <row r="54" spans="3:4" x14ac:dyDescent="0.45">
      <c r="C54" s="1"/>
      <c r="D54" s="1"/>
    </row>
    <row r="55" spans="3:4" x14ac:dyDescent="0.45">
      <c r="C55" s="1"/>
      <c r="D55" s="1"/>
    </row>
    <row r="56" spans="3:4" x14ac:dyDescent="0.45">
      <c r="C56" s="1"/>
      <c r="D56" s="1"/>
    </row>
    <row r="57" spans="3:4" x14ac:dyDescent="0.45">
      <c r="C57" s="1"/>
      <c r="D57" s="1"/>
    </row>
    <row r="58" spans="3:4" x14ac:dyDescent="0.45">
      <c r="C58" s="1"/>
      <c r="D58" s="1"/>
    </row>
    <row r="59" spans="3:4" x14ac:dyDescent="0.45">
      <c r="C59" s="1"/>
      <c r="D59" s="1"/>
    </row>
    <row r="60" spans="3:4" x14ac:dyDescent="0.45">
      <c r="C60" s="1"/>
      <c r="D60" s="1"/>
    </row>
    <row r="61" spans="3:4" x14ac:dyDescent="0.45">
      <c r="C61" s="1"/>
      <c r="D61" s="1"/>
    </row>
    <row r="62" spans="3:4" x14ac:dyDescent="0.45">
      <c r="C62" s="1"/>
      <c r="D62" s="1"/>
    </row>
    <row r="63" spans="3:4" x14ac:dyDescent="0.45">
      <c r="C63" s="1"/>
      <c r="D63" s="1"/>
    </row>
    <row r="64" spans="3:4" x14ac:dyDescent="0.45">
      <c r="C64" s="1"/>
      <c r="D64" s="1"/>
    </row>
    <row r="65" spans="3:4" x14ac:dyDescent="0.45">
      <c r="C65" s="1"/>
      <c r="D65" s="1"/>
    </row>
    <row r="66" spans="3:4" x14ac:dyDescent="0.45">
      <c r="C66" s="1"/>
      <c r="D66" s="1"/>
    </row>
    <row r="67" spans="3:4" x14ac:dyDescent="0.45">
      <c r="C67" s="1"/>
      <c r="D67" s="1"/>
    </row>
    <row r="68" spans="3:4" x14ac:dyDescent="0.45">
      <c r="C68" s="1"/>
      <c r="D68" s="1"/>
    </row>
    <row r="69" spans="3:4" x14ac:dyDescent="0.45">
      <c r="C69" s="1"/>
      <c r="D69" s="1"/>
    </row>
    <row r="70" spans="3:4" x14ac:dyDescent="0.45">
      <c r="C70" s="1"/>
      <c r="D70" s="1"/>
    </row>
    <row r="71" spans="3:4" x14ac:dyDescent="0.45">
      <c r="C71" s="1"/>
      <c r="D71" s="1"/>
    </row>
    <row r="72" spans="3:4" x14ac:dyDescent="0.45">
      <c r="C72" s="1"/>
      <c r="D72" s="1"/>
    </row>
    <row r="73" spans="3:4" x14ac:dyDescent="0.45">
      <c r="C73" s="1"/>
      <c r="D73" s="1"/>
    </row>
    <row r="74" spans="3:4" x14ac:dyDescent="0.45">
      <c r="C74" s="1"/>
      <c r="D74" s="1"/>
    </row>
    <row r="75" spans="3:4" x14ac:dyDescent="0.45">
      <c r="C75" s="1"/>
      <c r="D75" s="1"/>
    </row>
    <row r="76" spans="3:4" x14ac:dyDescent="0.45">
      <c r="C76" s="1"/>
      <c r="D76" s="1"/>
    </row>
    <row r="77" spans="3:4" x14ac:dyDescent="0.45">
      <c r="C77" s="1"/>
      <c r="D77" s="1"/>
    </row>
    <row r="78" spans="3:4" x14ac:dyDescent="0.45">
      <c r="C78" s="1"/>
      <c r="D78" s="1"/>
    </row>
    <row r="79" spans="3:4" x14ac:dyDescent="0.45">
      <c r="C79" s="1"/>
      <c r="D79" s="1"/>
    </row>
    <row r="80" spans="3:4" x14ac:dyDescent="0.45">
      <c r="C80" s="1"/>
      <c r="D80" s="1"/>
    </row>
    <row r="81" spans="3:4" x14ac:dyDescent="0.45">
      <c r="C81" s="1"/>
      <c r="D81" s="1"/>
    </row>
    <row r="82" spans="3:4" x14ac:dyDescent="0.45">
      <c r="C82" s="1"/>
      <c r="D82" s="1"/>
    </row>
    <row r="83" spans="3:4" x14ac:dyDescent="0.45">
      <c r="C83" s="1"/>
      <c r="D83" s="1"/>
    </row>
    <row r="84" spans="3:4" x14ac:dyDescent="0.45">
      <c r="C84" s="1"/>
      <c r="D84" s="1"/>
    </row>
    <row r="85" spans="3:4" x14ac:dyDescent="0.45">
      <c r="C85" s="1"/>
      <c r="D85" s="1"/>
    </row>
    <row r="86" spans="3:4" x14ac:dyDescent="0.45">
      <c r="C86" s="1"/>
      <c r="D86" s="1"/>
    </row>
    <row r="87" spans="3:4" x14ac:dyDescent="0.45">
      <c r="C87" s="1"/>
      <c r="D87" s="1"/>
    </row>
    <row r="88" spans="3:4" x14ac:dyDescent="0.45">
      <c r="C88" s="1"/>
      <c r="D88" s="1"/>
    </row>
    <row r="89" spans="3:4" x14ac:dyDescent="0.45">
      <c r="C89" s="1"/>
      <c r="D89" s="1"/>
    </row>
    <row r="90" spans="3:4" x14ac:dyDescent="0.45">
      <c r="C90" s="1"/>
      <c r="D90" s="1"/>
    </row>
    <row r="91" spans="3:4" x14ac:dyDescent="0.45">
      <c r="C91" s="1"/>
      <c r="D91" s="1"/>
    </row>
    <row r="92" spans="3:4" x14ac:dyDescent="0.45">
      <c r="C92" s="1"/>
      <c r="D92" s="1"/>
    </row>
    <row r="93" spans="3:4" x14ac:dyDescent="0.45">
      <c r="C93" s="1"/>
      <c r="D93" s="1"/>
    </row>
    <row r="94" spans="3:4" x14ac:dyDescent="0.45">
      <c r="C94" s="1"/>
      <c r="D94" s="1"/>
    </row>
    <row r="95" spans="3:4" x14ac:dyDescent="0.45">
      <c r="C95" s="1"/>
      <c r="D95" s="1"/>
    </row>
    <row r="96" spans="3:4" x14ac:dyDescent="0.45">
      <c r="C96" s="1"/>
      <c r="D96" s="1"/>
    </row>
    <row r="97" spans="3:4" x14ac:dyDescent="0.45">
      <c r="C97" s="1"/>
      <c r="D97" s="1"/>
    </row>
    <row r="98" spans="3:4" x14ac:dyDescent="0.45">
      <c r="C98" s="1"/>
      <c r="D98" s="1"/>
    </row>
    <row r="99" spans="3:4" x14ac:dyDescent="0.45">
      <c r="C99" s="1"/>
      <c r="D99" s="1"/>
    </row>
    <row r="100" spans="3:4" x14ac:dyDescent="0.45">
      <c r="C100" s="1"/>
      <c r="D100" s="1"/>
    </row>
    <row r="101" spans="3:4" x14ac:dyDescent="0.45">
      <c r="C101" s="1"/>
      <c r="D101" s="1"/>
    </row>
    <row r="102" spans="3:4" x14ac:dyDescent="0.45">
      <c r="C102" s="1"/>
      <c r="D102" s="1"/>
    </row>
    <row r="103" spans="3:4" x14ac:dyDescent="0.45">
      <c r="C103" s="1"/>
      <c r="D103" s="1"/>
    </row>
    <row r="104" spans="3:4" x14ac:dyDescent="0.45">
      <c r="C104" s="1"/>
      <c r="D104" s="1"/>
    </row>
    <row r="105" spans="3:4" x14ac:dyDescent="0.45">
      <c r="C105" s="1"/>
      <c r="D105" s="1"/>
    </row>
    <row r="106" spans="3:4" x14ac:dyDescent="0.45">
      <c r="C106" s="1"/>
      <c r="D106" s="1"/>
    </row>
    <row r="107" spans="3:4" x14ac:dyDescent="0.45">
      <c r="C107" s="1"/>
      <c r="D107" s="1"/>
    </row>
    <row r="108" spans="3:4" x14ac:dyDescent="0.45">
      <c r="C108" s="1"/>
      <c r="D108" s="1"/>
    </row>
    <row r="109" spans="3:4" x14ac:dyDescent="0.45">
      <c r="C109" s="1"/>
      <c r="D109" s="1"/>
    </row>
    <row r="110" spans="3:4" x14ac:dyDescent="0.45">
      <c r="C110" s="1"/>
      <c r="D110" s="1"/>
    </row>
    <row r="111" spans="3:4" x14ac:dyDescent="0.45">
      <c r="C111" s="1"/>
      <c r="D111" s="1"/>
    </row>
    <row r="112" spans="3:4" x14ac:dyDescent="0.45">
      <c r="C112" s="1"/>
      <c r="D112" s="1"/>
    </row>
    <row r="113" spans="3:4" x14ac:dyDescent="0.45">
      <c r="C113" s="1"/>
      <c r="D113" s="1"/>
    </row>
    <row r="114" spans="3:4" x14ac:dyDescent="0.45">
      <c r="C114" s="1"/>
    </row>
    <row r="115" spans="3:4" x14ac:dyDescent="0.45">
      <c r="C115" s="1"/>
    </row>
    <row r="116" spans="3:4" x14ac:dyDescent="0.45">
      <c r="C116" s="1"/>
    </row>
    <row r="117" spans="3:4" x14ac:dyDescent="0.45">
      <c r="C117" s="1"/>
    </row>
    <row r="118" spans="3:4" x14ac:dyDescent="0.45">
      <c r="C118" s="1"/>
    </row>
    <row r="119" spans="3:4" x14ac:dyDescent="0.45">
      <c r="C119" s="1"/>
    </row>
    <row r="120" spans="3:4" x14ac:dyDescent="0.45">
      <c r="C120" s="1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Start</vt:lpstr>
      <vt:lpstr>Product1</vt:lpstr>
      <vt:lpstr>Error Bars</vt:lpstr>
      <vt:lpstr>calcSimple</vt:lpstr>
      <vt:lpstr>calcAdaptive</vt:lpstr>
      <vt:lpstr>alpha</vt:lpstr>
      <vt:lpstr>gamma</vt:lpstr>
      <vt:lpstr>SSE_adaptive</vt:lpstr>
      <vt:lpstr>SSE_simple</vt:lpstr>
    </vt:vector>
  </TitlesOfParts>
  <Company>____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lesley</dc:creator>
  <cp:lastModifiedBy>Kerr</cp:lastModifiedBy>
  <dcterms:created xsi:type="dcterms:W3CDTF">2014-10-14T11:16:32Z</dcterms:created>
  <dcterms:modified xsi:type="dcterms:W3CDTF">2014-12-02T19:50:50Z</dcterms:modified>
</cp:coreProperties>
</file>