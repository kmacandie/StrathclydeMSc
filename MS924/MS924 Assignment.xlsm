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Home\GitHub\StrathclydeMSc\MS924\"/>
    </mc:Choice>
  </mc:AlternateContent>
  <bookViews>
    <workbookView xWindow="0" yWindow="0" windowWidth="28800" windowHeight="16503"/>
  </bookViews>
  <sheets>
    <sheet name="Start" sheetId="2" r:id="rId1"/>
    <sheet name="Product1" sheetId="1" r:id="rId2"/>
    <sheet name="calcSimple" sheetId="3" r:id="rId3"/>
    <sheet name="calcAdaptive" sheetId="4" r:id="rId4"/>
    <sheet name="Simple" sheetId="6" r:id="rId5"/>
    <sheet name="Adaptive" sheetId="5" r:id="rId6"/>
  </sheets>
  <definedNames>
    <definedName name="alpha">calcSimple!$H$2</definedName>
    <definedName name="gamma">calcAdaptive!$L$2</definedName>
    <definedName name="solver_adj" localSheetId="3" hidden="1">calcAdaptive!$L$2</definedName>
    <definedName name="solver_adj" localSheetId="2" hidden="1">calcSimple!$H$2</definedName>
    <definedName name="solver_cvg" localSheetId="3" hidden="1">0.0001</definedName>
    <definedName name="solver_cvg" localSheetId="2" hidden="1">0.0001</definedName>
    <definedName name="solver_drv" localSheetId="3" hidden="1">2</definedName>
    <definedName name="solver_drv" localSheetId="2" hidden="1">1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lhs1" localSheetId="3" hidden="1">calcAdaptive!$L$2</definedName>
    <definedName name="solver_lhs1" localSheetId="2" hidden="1">calcSimple!$H$2</definedName>
    <definedName name="solver_lhs10" localSheetId="3" hidden="1">calcAdaptive!$D$2</definedName>
    <definedName name="solver_lhs10" localSheetId="2" hidden="1">calcSimple!$H$2</definedName>
    <definedName name="solver_lhs11" localSheetId="3" hidden="1">calcAdaptive!$D$2</definedName>
    <definedName name="solver_lhs11" localSheetId="2" hidden="1">calcSimple!$H$2</definedName>
    <definedName name="solver_lhs12" localSheetId="3" hidden="1">calcAdaptive!$D$2</definedName>
    <definedName name="solver_lhs12" localSheetId="2" hidden="1">calcSimple!$H$2</definedName>
    <definedName name="solver_lhs13" localSheetId="3" hidden="1">calcAdaptive!$D$2</definedName>
    <definedName name="solver_lhs13" localSheetId="2" hidden="1">calcSimple!$H$2</definedName>
    <definedName name="solver_lhs14" localSheetId="3" hidden="1">calcAdaptive!$D$2</definedName>
    <definedName name="solver_lhs14" localSheetId="2" hidden="1">calcSimple!$H$2</definedName>
    <definedName name="solver_lhs15" localSheetId="3" hidden="1">calcAdaptive!$D$2</definedName>
    <definedName name="solver_lhs15" localSheetId="2" hidden="1">calcSimple!$H$2</definedName>
    <definedName name="solver_lhs16" localSheetId="3" hidden="1">calcAdaptive!$D$2</definedName>
    <definedName name="solver_lhs16" localSheetId="2" hidden="1">calcSimple!$H$2</definedName>
    <definedName name="solver_lhs17" localSheetId="3" hidden="1">calcAdaptive!$H$2</definedName>
    <definedName name="solver_lhs17" localSheetId="2" hidden="1">calcSimple!$H$2</definedName>
    <definedName name="solver_lhs18" localSheetId="3" hidden="1">calcAdaptive!$H$2</definedName>
    <definedName name="solver_lhs18" localSheetId="2" hidden="1">calcSimple!$H$2</definedName>
    <definedName name="solver_lhs19" localSheetId="3" hidden="1">calcAdaptive!$H$2</definedName>
    <definedName name="solver_lhs19" localSheetId="2" hidden="1">calcSimple!$H$2</definedName>
    <definedName name="solver_lhs2" localSheetId="3" hidden="1">calcAdaptive!$L$2</definedName>
    <definedName name="solver_lhs2" localSheetId="2" hidden="1">calcSimple!$H$2</definedName>
    <definedName name="solver_lhs20" localSheetId="3" hidden="1">calcAdaptive!$H$2</definedName>
    <definedName name="solver_lhs20" localSheetId="2" hidden="1">calcSimple!$H$2</definedName>
    <definedName name="solver_lhs21" localSheetId="3" hidden="1">calcAdaptive!$H$2</definedName>
    <definedName name="solver_lhs21" localSheetId="2" hidden="1">calcSimple!$H$2</definedName>
    <definedName name="solver_lhs22" localSheetId="3" hidden="1">calcAdaptive!$H$2</definedName>
    <definedName name="solver_lhs22" localSheetId="2" hidden="1">calcSimple!$H$2</definedName>
    <definedName name="solver_lhs23" localSheetId="3" hidden="1">calcAdaptive!$H$2</definedName>
    <definedName name="solver_lhs23" localSheetId="2" hidden="1">calcSimple!$H$2</definedName>
    <definedName name="solver_lhs24" localSheetId="3" hidden="1">calcAdaptive!$H$2</definedName>
    <definedName name="solver_lhs24" localSheetId="2" hidden="1">calcSimple!$H$2</definedName>
    <definedName name="solver_lhs25" localSheetId="3" hidden="1">calcAdaptive!$H$2</definedName>
    <definedName name="solver_lhs25" localSheetId="2" hidden="1">calcSimple!$H$2</definedName>
    <definedName name="solver_lhs26" localSheetId="3" hidden="1">calcAdaptive!$H$2</definedName>
    <definedName name="solver_lhs26" localSheetId="2" hidden="1">calcSimple!$H$2</definedName>
    <definedName name="solver_lhs27" localSheetId="3" hidden="1">calcAdaptive!$L$2</definedName>
    <definedName name="solver_lhs27" localSheetId="2" hidden="1">calcSimple!$H$2</definedName>
    <definedName name="solver_lhs28" localSheetId="3" hidden="1">calcAdaptive!$L$2</definedName>
    <definedName name="solver_lhs28" localSheetId="2" hidden="1">calcSimple!$H$2</definedName>
    <definedName name="solver_lhs29" localSheetId="3" hidden="1">calcAdaptive!$L$2</definedName>
    <definedName name="solver_lhs29" localSheetId="2" hidden="1">calcSimple!$H$2</definedName>
    <definedName name="solver_lhs3" localSheetId="3" hidden="1">calcAdaptive!$D$2</definedName>
    <definedName name="solver_lhs3" localSheetId="2" hidden="1">calcSimple!$H$2</definedName>
    <definedName name="solver_lhs30" localSheetId="3" hidden="1">calcAdaptive!$L$2</definedName>
    <definedName name="solver_lhs30" localSheetId="2" hidden="1">calcSimple!$H$2</definedName>
    <definedName name="solver_lhs31" localSheetId="3" hidden="1">calcAdaptive!$L$2</definedName>
    <definedName name="solver_lhs31" localSheetId="2" hidden="1">calcSimple!$H$2</definedName>
    <definedName name="solver_lhs32" localSheetId="3" hidden="1">calcAdaptive!$L$2</definedName>
    <definedName name="solver_lhs32" localSheetId="2" hidden="1">calcSimple!$H$2</definedName>
    <definedName name="solver_lhs33" localSheetId="3" hidden="1">calcAdaptive!$L$2</definedName>
    <definedName name="solver_lhs33" localSheetId="2" hidden="1">calcSimple!$H$2</definedName>
    <definedName name="solver_lhs34" localSheetId="3" hidden="1">calcAdaptive!$L$2</definedName>
    <definedName name="solver_lhs34" localSheetId="2" hidden="1">calcSimple!$H$2</definedName>
    <definedName name="solver_lhs35" localSheetId="3" hidden="1">calcAdaptive!$L$2</definedName>
    <definedName name="solver_lhs35" localSheetId="2" hidden="1">calcSimple!$H$2</definedName>
    <definedName name="solver_lhs36" localSheetId="3" hidden="1">calcAdaptive!$L$2</definedName>
    <definedName name="solver_lhs36" localSheetId="2" hidden="1">calcSimple!$H$2</definedName>
    <definedName name="solver_lhs37" localSheetId="3" hidden="1">calcAdaptive!$L$2</definedName>
    <definedName name="solver_lhs37" localSheetId="2" hidden="1">calcSimple!$H$2</definedName>
    <definedName name="solver_lhs38" localSheetId="3" hidden="1">calcAdaptive!$L$2</definedName>
    <definedName name="solver_lhs38" localSheetId="2" hidden="1">calcSimple!$H$2</definedName>
    <definedName name="solver_lhs39" localSheetId="3" hidden="1">calcAdaptive!$L$2</definedName>
    <definedName name="solver_lhs39" localSheetId="2" hidden="1">calcSimple!$H$2</definedName>
    <definedName name="solver_lhs4" localSheetId="3" hidden="1">calcAdaptive!$D$2</definedName>
    <definedName name="solver_lhs4" localSheetId="2" hidden="1">calcSimple!$H$2</definedName>
    <definedName name="solver_lhs40" localSheetId="3" hidden="1">calcAdaptive!$L$2</definedName>
    <definedName name="solver_lhs40" localSheetId="2" hidden="1">calcSimple!$H$2</definedName>
    <definedName name="solver_lhs41" localSheetId="3" hidden="1">calcAdaptive!$L$2</definedName>
    <definedName name="solver_lhs41" localSheetId="2" hidden="1">calcSimple!$H$2</definedName>
    <definedName name="solver_lhs42" localSheetId="3" hidden="1">calcAdaptive!$L$2</definedName>
    <definedName name="solver_lhs42" localSheetId="2" hidden="1">calcSimple!$H$2</definedName>
    <definedName name="solver_lhs43" localSheetId="3" hidden="1">calcAdaptive!$L$2</definedName>
    <definedName name="solver_lhs43" localSheetId="2" hidden="1">calcSimple!$H$2</definedName>
    <definedName name="solver_lhs44" localSheetId="3" hidden="1">calcAdaptive!$L$2</definedName>
    <definedName name="solver_lhs44" localSheetId="2" hidden="1">calcSimple!$H$2</definedName>
    <definedName name="solver_lhs45" localSheetId="3" hidden="1">calcAdaptive!$L$2</definedName>
    <definedName name="solver_lhs45" localSheetId="2" hidden="1">calcSimple!$H$2</definedName>
    <definedName name="solver_lhs46" localSheetId="3" hidden="1">calcAdaptive!$L$2</definedName>
    <definedName name="solver_lhs46" localSheetId="2" hidden="1">calcSimple!$H$2</definedName>
    <definedName name="solver_lhs47" localSheetId="3" hidden="1">calcAdaptive!$L$2</definedName>
    <definedName name="solver_lhs47" localSheetId="2" hidden="1">calcSimple!$H$2</definedName>
    <definedName name="solver_lhs48" localSheetId="3" hidden="1">calcAdaptive!$L$2</definedName>
    <definedName name="solver_lhs48" localSheetId="2" hidden="1">calcSimple!$H$2</definedName>
    <definedName name="solver_lhs49" localSheetId="3" hidden="1">calcAdaptive!$L$2</definedName>
    <definedName name="solver_lhs49" localSheetId="2" hidden="1">calcSimple!$H$2</definedName>
    <definedName name="solver_lhs5" localSheetId="3" hidden="1">calcAdaptive!$D$2</definedName>
    <definedName name="solver_lhs5" localSheetId="2" hidden="1">calcSimple!$H$2</definedName>
    <definedName name="solver_lhs50" localSheetId="3" hidden="1">calcAdaptive!$L$2</definedName>
    <definedName name="solver_lhs50" localSheetId="2" hidden="1">calcSimple!$H$2</definedName>
    <definedName name="solver_lhs51" localSheetId="3" hidden="1">calcAdaptive!$L$2</definedName>
    <definedName name="solver_lhs51" localSheetId="2" hidden="1">calcSimple!$H$2</definedName>
    <definedName name="solver_lhs52" localSheetId="3" hidden="1">calcAdaptive!$L$2</definedName>
    <definedName name="solver_lhs52" localSheetId="2" hidden="1">calcSimple!$H$2</definedName>
    <definedName name="solver_lhs53" localSheetId="3" hidden="1">calcAdaptive!$L$2</definedName>
    <definedName name="solver_lhs53" localSheetId="2" hidden="1">calcSimple!$H$2</definedName>
    <definedName name="solver_lhs54" localSheetId="3" hidden="1">calcAdaptive!$L$2</definedName>
    <definedName name="solver_lhs54" localSheetId="2" hidden="1">calcSimple!$H$2</definedName>
    <definedName name="solver_lhs55" localSheetId="3" hidden="1">calcAdaptive!$L$2</definedName>
    <definedName name="solver_lhs55" localSheetId="2" hidden="1">calcSimple!$H$2</definedName>
    <definedName name="solver_lhs56" localSheetId="3" hidden="1">calcAdaptive!$L$2</definedName>
    <definedName name="solver_lhs56" localSheetId="2" hidden="1">calcSimple!$H$2</definedName>
    <definedName name="solver_lhs57" localSheetId="3" hidden="1">calcAdaptive!$L$2</definedName>
    <definedName name="solver_lhs57" localSheetId="2" hidden="1">calcSimple!$H$2</definedName>
    <definedName name="solver_lhs58" localSheetId="3" hidden="1">calcAdaptive!$L$2</definedName>
    <definedName name="solver_lhs58" localSheetId="2" hidden="1">calcSimple!$H$2</definedName>
    <definedName name="solver_lhs59" localSheetId="3" hidden="1">calcAdaptive!$L$2</definedName>
    <definedName name="solver_lhs59" localSheetId="2" hidden="1">calcSimple!$H$2</definedName>
    <definedName name="solver_lhs6" localSheetId="3" hidden="1">calcAdaptive!$D$2</definedName>
    <definedName name="solver_lhs6" localSheetId="2" hidden="1">calcSimple!$H$2</definedName>
    <definedName name="solver_lhs60" localSheetId="3" hidden="1">calcAdaptive!$L$2</definedName>
    <definedName name="solver_lhs60" localSheetId="2" hidden="1">calcSimple!$H$2</definedName>
    <definedName name="solver_lhs61" localSheetId="3" hidden="1">calcAdaptive!$L$2</definedName>
    <definedName name="solver_lhs61" localSheetId="2" hidden="1">calcSimple!$H$2</definedName>
    <definedName name="solver_lhs62" localSheetId="3" hidden="1">calcAdaptive!$L$2</definedName>
    <definedName name="solver_lhs62" localSheetId="2" hidden="1">calcSimple!$H$2</definedName>
    <definedName name="solver_lhs63" localSheetId="3" hidden="1">calcAdaptive!$L$2</definedName>
    <definedName name="solver_lhs63" localSheetId="2" hidden="1">calcSimple!$H$2</definedName>
    <definedName name="solver_lhs64" localSheetId="3" hidden="1">calcAdaptive!$L$2</definedName>
    <definedName name="solver_lhs64" localSheetId="2" hidden="1">calcSimple!$H$2</definedName>
    <definedName name="solver_lhs65" localSheetId="3" hidden="1">calcAdaptive!$L$2</definedName>
    <definedName name="solver_lhs65" localSheetId="2" hidden="1">calcSimple!$H$2</definedName>
    <definedName name="solver_lhs66" localSheetId="3" hidden="1">calcAdaptive!$L$2</definedName>
    <definedName name="solver_lhs66" localSheetId="2" hidden="1">calcSimple!$H$2</definedName>
    <definedName name="solver_lhs67" localSheetId="3" hidden="1">calcAdaptive!$L$2</definedName>
    <definedName name="solver_lhs67" localSheetId="2" hidden="1">calcSimple!$H$2</definedName>
    <definedName name="solver_lhs68" localSheetId="3" hidden="1">calcAdaptive!$L$2</definedName>
    <definedName name="solver_lhs68" localSheetId="2" hidden="1">calcSimple!$H$2</definedName>
    <definedName name="solver_lhs69" localSheetId="3" hidden="1">calcAdaptive!$L$2</definedName>
    <definedName name="solver_lhs69" localSheetId="2" hidden="1">calcSimple!$H$2</definedName>
    <definedName name="solver_lhs7" localSheetId="3" hidden="1">calcAdaptive!$D$2</definedName>
    <definedName name="solver_lhs7" localSheetId="2" hidden="1">calcSimple!$H$2</definedName>
    <definedName name="solver_lhs70" localSheetId="3" hidden="1">calcAdaptive!$L$2</definedName>
    <definedName name="solver_lhs70" localSheetId="2" hidden="1">calcSimple!$H$2</definedName>
    <definedName name="solver_lhs71" localSheetId="3" hidden="1">calcAdaptive!$L$2</definedName>
    <definedName name="solver_lhs71" localSheetId="2" hidden="1">calcSimple!$H$2</definedName>
    <definedName name="solver_lhs72" localSheetId="3" hidden="1">calcAdaptive!$L$2</definedName>
    <definedName name="solver_lhs72" localSheetId="2" hidden="1">calcSimple!$H$2</definedName>
    <definedName name="solver_lhs73" localSheetId="3" hidden="1">calcAdaptive!$L$2</definedName>
    <definedName name="solver_lhs73" localSheetId="2" hidden="1">calcSimple!$H$2</definedName>
    <definedName name="solver_lhs74" localSheetId="3" hidden="1">calcAdaptive!$L$2</definedName>
    <definedName name="solver_lhs74" localSheetId="2" hidden="1">calcSimple!$H$2</definedName>
    <definedName name="solver_lhs75" localSheetId="3" hidden="1">calcAdaptive!$L$2</definedName>
    <definedName name="solver_lhs75" localSheetId="2" hidden="1">calcSimple!$H$2</definedName>
    <definedName name="solver_lhs76" localSheetId="3" hidden="1">calcAdaptive!$L$2</definedName>
    <definedName name="solver_lhs76" localSheetId="2" hidden="1">calcSimple!$H$2</definedName>
    <definedName name="solver_lhs77" localSheetId="3" hidden="1">calcAdaptive!$L$2</definedName>
    <definedName name="solver_lhs77" localSheetId="2" hidden="1">calcSimple!$H$2</definedName>
    <definedName name="solver_lhs78" localSheetId="3" hidden="1">calcAdaptive!$L$2</definedName>
    <definedName name="solver_lhs78" localSheetId="2" hidden="1">calcSimple!$H$2</definedName>
    <definedName name="solver_lhs79" localSheetId="3" hidden="1">calcAdaptive!$L$2</definedName>
    <definedName name="solver_lhs79" localSheetId="2" hidden="1">calcSimple!$H$2</definedName>
    <definedName name="solver_lhs8" localSheetId="3" hidden="1">calcAdaptive!$D$2</definedName>
    <definedName name="solver_lhs8" localSheetId="2" hidden="1">calcSimple!$H$2</definedName>
    <definedName name="solver_lhs80" localSheetId="3" hidden="1">calcAdaptive!$L$2</definedName>
    <definedName name="solver_lhs80" localSheetId="2" hidden="1">calcSimple!$H$2</definedName>
    <definedName name="solver_lhs81" localSheetId="3" hidden="1">calcAdaptive!$L$2</definedName>
    <definedName name="solver_lhs81" localSheetId="2" hidden="1">calcSimple!$H$2</definedName>
    <definedName name="solver_lhs82" localSheetId="3" hidden="1">calcAdaptive!$L$2</definedName>
    <definedName name="solver_lhs82" localSheetId="2" hidden="1">calcSimple!$H$2</definedName>
    <definedName name="solver_lhs83" localSheetId="3" hidden="1">calcAdaptive!$L$2</definedName>
    <definedName name="solver_lhs83" localSheetId="2" hidden="1">calcSimple!$H$2</definedName>
    <definedName name="solver_lhs84" localSheetId="3" hidden="1">calcAdaptive!$L$2</definedName>
    <definedName name="solver_lhs84" localSheetId="2" hidden="1">calcSimple!$H$2</definedName>
    <definedName name="solver_lhs85" localSheetId="2" hidden="1">calcSimple!$H$2</definedName>
    <definedName name="solver_lhs86" localSheetId="2" hidden="1">calcSimple!$H$2</definedName>
    <definedName name="solver_lhs87" localSheetId="2" hidden="1">calcSimple!$H$2</definedName>
    <definedName name="solver_lhs88" localSheetId="2" hidden="1">calcSimple!$H$2</definedName>
    <definedName name="solver_lhs89" localSheetId="2" hidden="1">calcSimple!$H$2</definedName>
    <definedName name="solver_lhs9" localSheetId="3" hidden="1">calcAdaptive!$D$2</definedName>
    <definedName name="solver_lhs9" localSheetId="2" hidden="1">calcSimple!$H$2</definedName>
    <definedName name="solver_lhs90" localSheetId="2" hidden="1">calcSimple!$H$2</definedName>
    <definedName name="solver_lhs91" localSheetId="2" hidden="1">calcSimple!$H$2</definedName>
    <definedName name="solver_lhs92" localSheetId="2" hidden="1">calcSimple!$H$2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84</definedName>
    <definedName name="solver_num" localSheetId="2" hidden="1">92</definedName>
    <definedName name="solver_nwt" localSheetId="3" hidden="1">1</definedName>
    <definedName name="solver_nwt" localSheetId="2" hidden="1">1</definedName>
    <definedName name="solver_opt" localSheetId="3" hidden="1">calcAdaptive!$K$2</definedName>
    <definedName name="solver_opt" localSheetId="2" hidden="1">calcSimple!$G$2</definedName>
    <definedName name="solver_pre" localSheetId="3" hidden="1">0.000001</definedName>
    <definedName name="solver_pre" localSheetId="2" hidden="1">0.000001</definedName>
    <definedName name="solver_rbv" localSheetId="3" hidden="1">2</definedName>
    <definedName name="solver_rbv" localSheetId="2" hidden="1">1</definedName>
    <definedName name="solver_rel1" localSheetId="3" hidden="1">1</definedName>
    <definedName name="solver_rel1" localSheetId="2" hidden="1">1</definedName>
    <definedName name="solver_rel10" localSheetId="3" hidden="1">1</definedName>
    <definedName name="solver_rel10" localSheetId="2" hidden="1">1</definedName>
    <definedName name="solver_rel11" localSheetId="3" hidden="1">3</definedName>
    <definedName name="solver_rel11" localSheetId="2" hidden="1">3</definedName>
    <definedName name="solver_rel12" localSheetId="3" hidden="1">1</definedName>
    <definedName name="solver_rel12" localSheetId="2" hidden="1">1</definedName>
    <definedName name="solver_rel13" localSheetId="3" hidden="1">3</definedName>
    <definedName name="solver_rel13" localSheetId="2" hidden="1">3</definedName>
    <definedName name="solver_rel14" localSheetId="3" hidden="1">1</definedName>
    <definedName name="solver_rel14" localSheetId="2" hidden="1">1</definedName>
    <definedName name="solver_rel15" localSheetId="3" hidden="1">3</definedName>
    <definedName name="solver_rel15" localSheetId="2" hidden="1">3</definedName>
    <definedName name="solver_rel16" localSheetId="3" hidden="1">1</definedName>
    <definedName name="solver_rel16" localSheetId="2" hidden="1">1</definedName>
    <definedName name="solver_rel17" localSheetId="3" hidden="1">3</definedName>
    <definedName name="solver_rel17" localSheetId="2" hidden="1">3</definedName>
    <definedName name="solver_rel18" localSheetId="3" hidden="1">1</definedName>
    <definedName name="solver_rel18" localSheetId="2" hidden="1">1</definedName>
    <definedName name="solver_rel19" localSheetId="3" hidden="1">3</definedName>
    <definedName name="solver_rel19" localSheetId="2" hidden="1">3</definedName>
    <definedName name="solver_rel2" localSheetId="3" hidden="1">3</definedName>
    <definedName name="solver_rel2" localSheetId="2" hidden="1">3</definedName>
    <definedName name="solver_rel20" localSheetId="3" hidden="1">1</definedName>
    <definedName name="solver_rel20" localSheetId="2" hidden="1">1</definedName>
    <definedName name="solver_rel21" localSheetId="3" hidden="1">3</definedName>
    <definedName name="solver_rel21" localSheetId="2" hidden="1">3</definedName>
    <definedName name="solver_rel22" localSheetId="3" hidden="1">1</definedName>
    <definedName name="solver_rel22" localSheetId="2" hidden="1">1</definedName>
    <definedName name="solver_rel23" localSheetId="3" hidden="1">3</definedName>
    <definedName name="solver_rel23" localSheetId="2" hidden="1">3</definedName>
    <definedName name="solver_rel24" localSheetId="3" hidden="1">1</definedName>
    <definedName name="solver_rel24" localSheetId="2" hidden="1">1</definedName>
    <definedName name="solver_rel25" localSheetId="3" hidden="1">3</definedName>
    <definedName name="solver_rel25" localSheetId="2" hidden="1">3</definedName>
    <definedName name="solver_rel26" localSheetId="3" hidden="1">1</definedName>
    <definedName name="solver_rel26" localSheetId="2" hidden="1">1</definedName>
    <definedName name="solver_rel27" localSheetId="3" hidden="1">3</definedName>
    <definedName name="solver_rel27" localSheetId="2" hidden="1">3</definedName>
    <definedName name="solver_rel28" localSheetId="3" hidden="1">1</definedName>
    <definedName name="solver_rel28" localSheetId="2" hidden="1">1</definedName>
    <definedName name="solver_rel29" localSheetId="3" hidden="1">3</definedName>
    <definedName name="solver_rel29" localSheetId="2" hidden="1">3</definedName>
    <definedName name="solver_rel3" localSheetId="3" hidden="1">3</definedName>
    <definedName name="solver_rel3" localSheetId="2" hidden="1">3</definedName>
    <definedName name="solver_rel30" localSheetId="3" hidden="1">1</definedName>
    <definedName name="solver_rel30" localSheetId="2" hidden="1">1</definedName>
    <definedName name="solver_rel31" localSheetId="3" hidden="1">3</definedName>
    <definedName name="solver_rel31" localSheetId="2" hidden="1">3</definedName>
    <definedName name="solver_rel32" localSheetId="3" hidden="1">1</definedName>
    <definedName name="solver_rel32" localSheetId="2" hidden="1">1</definedName>
    <definedName name="solver_rel33" localSheetId="3" hidden="1">3</definedName>
    <definedName name="solver_rel33" localSheetId="2" hidden="1">3</definedName>
    <definedName name="solver_rel34" localSheetId="3" hidden="1">1</definedName>
    <definedName name="solver_rel34" localSheetId="2" hidden="1">1</definedName>
    <definedName name="solver_rel35" localSheetId="3" hidden="1">3</definedName>
    <definedName name="solver_rel35" localSheetId="2" hidden="1">3</definedName>
    <definedName name="solver_rel36" localSheetId="3" hidden="1">1</definedName>
    <definedName name="solver_rel36" localSheetId="2" hidden="1">1</definedName>
    <definedName name="solver_rel37" localSheetId="3" hidden="1">3</definedName>
    <definedName name="solver_rel37" localSheetId="2" hidden="1">3</definedName>
    <definedName name="solver_rel38" localSheetId="3" hidden="1">1</definedName>
    <definedName name="solver_rel38" localSheetId="2" hidden="1">1</definedName>
    <definedName name="solver_rel39" localSheetId="3" hidden="1">3</definedName>
    <definedName name="solver_rel39" localSheetId="2" hidden="1">3</definedName>
    <definedName name="solver_rel4" localSheetId="3" hidden="1">1</definedName>
    <definedName name="solver_rel4" localSheetId="2" hidden="1">1</definedName>
    <definedName name="solver_rel40" localSheetId="3" hidden="1">1</definedName>
    <definedName name="solver_rel40" localSheetId="2" hidden="1">1</definedName>
    <definedName name="solver_rel41" localSheetId="3" hidden="1">3</definedName>
    <definedName name="solver_rel41" localSheetId="2" hidden="1">3</definedName>
    <definedName name="solver_rel42" localSheetId="3" hidden="1">1</definedName>
    <definedName name="solver_rel42" localSheetId="2" hidden="1">1</definedName>
    <definedName name="solver_rel43" localSheetId="3" hidden="1">3</definedName>
    <definedName name="solver_rel43" localSheetId="2" hidden="1">3</definedName>
    <definedName name="solver_rel44" localSheetId="3" hidden="1">1</definedName>
    <definedName name="solver_rel44" localSheetId="2" hidden="1">1</definedName>
    <definedName name="solver_rel45" localSheetId="3" hidden="1">3</definedName>
    <definedName name="solver_rel45" localSheetId="2" hidden="1">3</definedName>
    <definedName name="solver_rel46" localSheetId="3" hidden="1">1</definedName>
    <definedName name="solver_rel46" localSheetId="2" hidden="1">1</definedName>
    <definedName name="solver_rel47" localSheetId="3" hidden="1">3</definedName>
    <definedName name="solver_rel47" localSheetId="2" hidden="1">3</definedName>
    <definedName name="solver_rel48" localSheetId="3" hidden="1">1</definedName>
    <definedName name="solver_rel48" localSheetId="2" hidden="1">1</definedName>
    <definedName name="solver_rel49" localSheetId="3" hidden="1">3</definedName>
    <definedName name="solver_rel49" localSheetId="2" hidden="1">3</definedName>
    <definedName name="solver_rel5" localSheetId="3" hidden="1">3</definedName>
    <definedName name="solver_rel5" localSheetId="2" hidden="1">3</definedName>
    <definedName name="solver_rel50" localSheetId="3" hidden="1">1</definedName>
    <definedName name="solver_rel50" localSheetId="2" hidden="1">1</definedName>
    <definedName name="solver_rel51" localSheetId="3" hidden="1">3</definedName>
    <definedName name="solver_rel51" localSheetId="2" hidden="1">3</definedName>
    <definedName name="solver_rel52" localSheetId="3" hidden="1">1</definedName>
    <definedName name="solver_rel52" localSheetId="2" hidden="1">1</definedName>
    <definedName name="solver_rel53" localSheetId="3" hidden="1">3</definedName>
    <definedName name="solver_rel53" localSheetId="2" hidden="1">3</definedName>
    <definedName name="solver_rel54" localSheetId="3" hidden="1">1</definedName>
    <definedName name="solver_rel54" localSheetId="2" hidden="1">1</definedName>
    <definedName name="solver_rel55" localSheetId="3" hidden="1">3</definedName>
    <definedName name="solver_rel55" localSheetId="2" hidden="1">3</definedName>
    <definedName name="solver_rel56" localSheetId="3" hidden="1">1</definedName>
    <definedName name="solver_rel56" localSheetId="2" hidden="1">1</definedName>
    <definedName name="solver_rel57" localSheetId="3" hidden="1">3</definedName>
    <definedName name="solver_rel57" localSheetId="2" hidden="1">3</definedName>
    <definedName name="solver_rel58" localSheetId="3" hidden="1">1</definedName>
    <definedName name="solver_rel58" localSheetId="2" hidden="1">1</definedName>
    <definedName name="solver_rel59" localSheetId="3" hidden="1">3</definedName>
    <definedName name="solver_rel59" localSheetId="2" hidden="1">3</definedName>
    <definedName name="solver_rel6" localSheetId="3" hidden="1">1</definedName>
    <definedName name="solver_rel6" localSheetId="2" hidden="1">1</definedName>
    <definedName name="solver_rel60" localSheetId="3" hidden="1">1</definedName>
    <definedName name="solver_rel60" localSheetId="2" hidden="1">1</definedName>
    <definedName name="solver_rel61" localSheetId="3" hidden="1">3</definedName>
    <definedName name="solver_rel61" localSheetId="2" hidden="1">3</definedName>
    <definedName name="solver_rel62" localSheetId="3" hidden="1">1</definedName>
    <definedName name="solver_rel62" localSheetId="2" hidden="1">1</definedName>
    <definedName name="solver_rel63" localSheetId="3" hidden="1">3</definedName>
    <definedName name="solver_rel63" localSheetId="2" hidden="1">3</definedName>
    <definedName name="solver_rel64" localSheetId="3" hidden="1">1</definedName>
    <definedName name="solver_rel64" localSheetId="2" hidden="1">1</definedName>
    <definedName name="solver_rel65" localSheetId="3" hidden="1">3</definedName>
    <definedName name="solver_rel65" localSheetId="2" hidden="1">3</definedName>
    <definedName name="solver_rel66" localSheetId="3" hidden="1">1</definedName>
    <definedName name="solver_rel66" localSheetId="2" hidden="1">1</definedName>
    <definedName name="solver_rel67" localSheetId="3" hidden="1">3</definedName>
    <definedName name="solver_rel67" localSheetId="2" hidden="1">3</definedName>
    <definedName name="solver_rel68" localSheetId="3" hidden="1">1</definedName>
    <definedName name="solver_rel68" localSheetId="2" hidden="1">1</definedName>
    <definedName name="solver_rel69" localSheetId="3" hidden="1">3</definedName>
    <definedName name="solver_rel69" localSheetId="2" hidden="1">3</definedName>
    <definedName name="solver_rel7" localSheetId="3" hidden="1">3</definedName>
    <definedName name="solver_rel7" localSheetId="2" hidden="1">3</definedName>
    <definedName name="solver_rel70" localSheetId="3" hidden="1">1</definedName>
    <definedName name="solver_rel70" localSheetId="2" hidden="1">1</definedName>
    <definedName name="solver_rel71" localSheetId="3" hidden="1">3</definedName>
    <definedName name="solver_rel71" localSheetId="2" hidden="1">3</definedName>
    <definedName name="solver_rel72" localSheetId="3" hidden="1">1</definedName>
    <definedName name="solver_rel72" localSheetId="2" hidden="1">1</definedName>
    <definedName name="solver_rel73" localSheetId="3" hidden="1">3</definedName>
    <definedName name="solver_rel73" localSheetId="2" hidden="1">3</definedName>
    <definedName name="solver_rel74" localSheetId="3" hidden="1">1</definedName>
    <definedName name="solver_rel74" localSheetId="2" hidden="1">1</definedName>
    <definedName name="solver_rel75" localSheetId="3" hidden="1">3</definedName>
    <definedName name="solver_rel75" localSheetId="2" hidden="1">3</definedName>
    <definedName name="solver_rel76" localSheetId="3" hidden="1">1</definedName>
    <definedName name="solver_rel76" localSheetId="2" hidden="1">1</definedName>
    <definedName name="solver_rel77" localSheetId="3" hidden="1">3</definedName>
    <definedName name="solver_rel77" localSheetId="2" hidden="1">3</definedName>
    <definedName name="solver_rel78" localSheetId="3" hidden="1">1</definedName>
    <definedName name="solver_rel78" localSheetId="2" hidden="1">1</definedName>
    <definedName name="solver_rel79" localSheetId="3" hidden="1">3</definedName>
    <definedName name="solver_rel79" localSheetId="2" hidden="1">3</definedName>
    <definedName name="solver_rel8" localSheetId="3" hidden="1">1</definedName>
    <definedName name="solver_rel8" localSheetId="2" hidden="1">1</definedName>
    <definedName name="solver_rel80" localSheetId="3" hidden="1">1</definedName>
    <definedName name="solver_rel80" localSheetId="2" hidden="1">1</definedName>
    <definedName name="solver_rel81" localSheetId="3" hidden="1">3</definedName>
    <definedName name="solver_rel81" localSheetId="2" hidden="1">3</definedName>
    <definedName name="solver_rel82" localSheetId="3" hidden="1">1</definedName>
    <definedName name="solver_rel82" localSheetId="2" hidden="1">1</definedName>
    <definedName name="solver_rel83" localSheetId="3" hidden="1">3</definedName>
    <definedName name="solver_rel83" localSheetId="2" hidden="1">3</definedName>
    <definedName name="solver_rel84" localSheetId="3" hidden="1">1</definedName>
    <definedName name="solver_rel84" localSheetId="2" hidden="1">1</definedName>
    <definedName name="solver_rel85" localSheetId="2" hidden="1">3</definedName>
    <definedName name="solver_rel86" localSheetId="2" hidden="1">1</definedName>
    <definedName name="solver_rel87" localSheetId="2" hidden="1">3</definedName>
    <definedName name="solver_rel88" localSheetId="2" hidden="1">1</definedName>
    <definedName name="solver_rel89" localSheetId="2" hidden="1">3</definedName>
    <definedName name="solver_rel9" localSheetId="3" hidden="1">3</definedName>
    <definedName name="solver_rel9" localSheetId="2" hidden="1">3</definedName>
    <definedName name="solver_rel90" localSheetId="2" hidden="1">1</definedName>
    <definedName name="solver_rel91" localSheetId="2" hidden="1">3</definedName>
    <definedName name="solver_rel92" localSheetId="2" hidden="1">1</definedName>
    <definedName name="solver_rhs1" localSheetId="3" hidden="1">1</definedName>
    <definedName name="solver_rhs1" localSheetId="2" hidden="1">1</definedName>
    <definedName name="solver_rhs10" localSheetId="3" hidden="1">1</definedName>
    <definedName name="solver_rhs10" localSheetId="2" hidden="1">1</definedName>
    <definedName name="solver_rhs11" localSheetId="3" hidden="1">0</definedName>
    <definedName name="solver_rhs11" localSheetId="2" hidden="1">0</definedName>
    <definedName name="solver_rhs12" localSheetId="3" hidden="1">1</definedName>
    <definedName name="solver_rhs12" localSheetId="2" hidden="1">1</definedName>
    <definedName name="solver_rhs13" localSheetId="3" hidden="1">0</definedName>
    <definedName name="solver_rhs13" localSheetId="2" hidden="1">0</definedName>
    <definedName name="solver_rhs14" localSheetId="3" hidden="1">1</definedName>
    <definedName name="solver_rhs14" localSheetId="2" hidden="1">1</definedName>
    <definedName name="solver_rhs15" localSheetId="3" hidden="1">0</definedName>
    <definedName name="solver_rhs15" localSheetId="2" hidden="1">0</definedName>
    <definedName name="solver_rhs16" localSheetId="3" hidden="1">1</definedName>
    <definedName name="solver_rhs16" localSheetId="2" hidden="1">1</definedName>
    <definedName name="solver_rhs17" localSheetId="3" hidden="1">0</definedName>
    <definedName name="solver_rhs17" localSheetId="2" hidden="1">0</definedName>
    <definedName name="solver_rhs18" localSheetId="3" hidden="1">1</definedName>
    <definedName name="solver_rhs18" localSheetId="2" hidden="1">1</definedName>
    <definedName name="solver_rhs19" localSheetId="3" hidden="1">0</definedName>
    <definedName name="solver_rhs19" localSheetId="2" hidden="1">0</definedName>
    <definedName name="solver_rhs2" localSheetId="3" hidden="1">0</definedName>
    <definedName name="solver_rhs2" localSheetId="2" hidden="1">0</definedName>
    <definedName name="solver_rhs20" localSheetId="3" hidden="1">1</definedName>
    <definedName name="solver_rhs20" localSheetId="2" hidden="1">1</definedName>
    <definedName name="solver_rhs21" localSheetId="3" hidden="1">0</definedName>
    <definedName name="solver_rhs21" localSheetId="2" hidden="1">0</definedName>
    <definedName name="solver_rhs22" localSheetId="3" hidden="1">1</definedName>
    <definedName name="solver_rhs22" localSheetId="2" hidden="1">1</definedName>
    <definedName name="solver_rhs23" localSheetId="3" hidden="1">0</definedName>
    <definedName name="solver_rhs23" localSheetId="2" hidden="1">0</definedName>
    <definedName name="solver_rhs24" localSheetId="3" hidden="1">1</definedName>
    <definedName name="solver_rhs24" localSheetId="2" hidden="1">1</definedName>
    <definedName name="solver_rhs25" localSheetId="3" hidden="1">0</definedName>
    <definedName name="solver_rhs25" localSheetId="2" hidden="1">0</definedName>
    <definedName name="solver_rhs26" localSheetId="3" hidden="1">1</definedName>
    <definedName name="solver_rhs26" localSheetId="2" hidden="1">1</definedName>
    <definedName name="solver_rhs27" localSheetId="3" hidden="1">0</definedName>
    <definedName name="solver_rhs27" localSheetId="2" hidden="1">0</definedName>
    <definedName name="solver_rhs28" localSheetId="3" hidden="1">1</definedName>
    <definedName name="solver_rhs28" localSheetId="2" hidden="1">1</definedName>
    <definedName name="solver_rhs29" localSheetId="3" hidden="1">0</definedName>
    <definedName name="solver_rhs29" localSheetId="2" hidden="1">0</definedName>
    <definedName name="solver_rhs3" localSheetId="3" hidden="1">0</definedName>
    <definedName name="solver_rhs3" localSheetId="2" hidden="1">0</definedName>
    <definedName name="solver_rhs30" localSheetId="3" hidden="1">1</definedName>
    <definedName name="solver_rhs30" localSheetId="2" hidden="1">1</definedName>
    <definedName name="solver_rhs31" localSheetId="3" hidden="1">0</definedName>
    <definedName name="solver_rhs31" localSheetId="2" hidden="1">0</definedName>
    <definedName name="solver_rhs32" localSheetId="3" hidden="1">1</definedName>
    <definedName name="solver_rhs32" localSheetId="2" hidden="1">1</definedName>
    <definedName name="solver_rhs33" localSheetId="3" hidden="1">0</definedName>
    <definedName name="solver_rhs33" localSheetId="2" hidden="1">0</definedName>
    <definedName name="solver_rhs34" localSheetId="3" hidden="1">1</definedName>
    <definedName name="solver_rhs34" localSheetId="2" hidden="1">1</definedName>
    <definedName name="solver_rhs35" localSheetId="3" hidden="1">0</definedName>
    <definedName name="solver_rhs35" localSheetId="2" hidden="1">0</definedName>
    <definedName name="solver_rhs36" localSheetId="3" hidden="1">1</definedName>
    <definedName name="solver_rhs36" localSheetId="2" hidden="1">1</definedName>
    <definedName name="solver_rhs37" localSheetId="3" hidden="1">0</definedName>
    <definedName name="solver_rhs37" localSheetId="2" hidden="1">0</definedName>
    <definedName name="solver_rhs38" localSheetId="3" hidden="1">1</definedName>
    <definedName name="solver_rhs38" localSheetId="2" hidden="1">1</definedName>
    <definedName name="solver_rhs39" localSheetId="3" hidden="1">0</definedName>
    <definedName name="solver_rhs39" localSheetId="2" hidden="1">0</definedName>
    <definedName name="solver_rhs4" localSheetId="3" hidden="1">1</definedName>
    <definedName name="solver_rhs4" localSheetId="2" hidden="1">1</definedName>
    <definedName name="solver_rhs40" localSheetId="3" hidden="1">1</definedName>
    <definedName name="solver_rhs40" localSheetId="2" hidden="1">1</definedName>
    <definedName name="solver_rhs41" localSheetId="3" hidden="1">0</definedName>
    <definedName name="solver_rhs41" localSheetId="2" hidden="1">0</definedName>
    <definedName name="solver_rhs42" localSheetId="3" hidden="1">1</definedName>
    <definedName name="solver_rhs42" localSheetId="2" hidden="1">1</definedName>
    <definedName name="solver_rhs43" localSheetId="3" hidden="1">0</definedName>
    <definedName name="solver_rhs43" localSheetId="2" hidden="1">0</definedName>
    <definedName name="solver_rhs44" localSheetId="3" hidden="1">1</definedName>
    <definedName name="solver_rhs44" localSheetId="2" hidden="1">1</definedName>
    <definedName name="solver_rhs45" localSheetId="3" hidden="1">0</definedName>
    <definedName name="solver_rhs45" localSheetId="2" hidden="1">0</definedName>
    <definedName name="solver_rhs46" localSheetId="3" hidden="1">1</definedName>
    <definedName name="solver_rhs46" localSheetId="2" hidden="1">1</definedName>
    <definedName name="solver_rhs47" localSheetId="3" hidden="1">0</definedName>
    <definedName name="solver_rhs47" localSheetId="2" hidden="1">0</definedName>
    <definedName name="solver_rhs48" localSheetId="3" hidden="1">1</definedName>
    <definedName name="solver_rhs48" localSheetId="2" hidden="1">1</definedName>
    <definedName name="solver_rhs49" localSheetId="3" hidden="1">0</definedName>
    <definedName name="solver_rhs49" localSheetId="2" hidden="1">0</definedName>
    <definedName name="solver_rhs5" localSheetId="3" hidden="1">0</definedName>
    <definedName name="solver_rhs5" localSheetId="2" hidden="1">0</definedName>
    <definedName name="solver_rhs50" localSheetId="3" hidden="1">1</definedName>
    <definedName name="solver_rhs50" localSheetId="2" hidden="1">1</definedName>
    <definedName name="solver_rhs51" localSheetId="3" hidden="1">0</definedName>
    <definedName name="solver_rhs51" localSheetId="2" hidden="1">0</definedName>
    <definedName name="solver_rhs52" localSheetId="3" hidden="1">1</definedName>
    <definedName name="solver_rhs52" localSheetId="2" hidden="1">1</definedName>
    <definedName name="solver_rhs53" localSheetId="3" hidden="1">0</definedName>
    <definedName name="solver_rhs53" localSheetId="2" hidden="1">0</definedName>
    <definedName name="solver_rhs54" localSheetId="3" hidden="1">1</definedName>
    <definedName name="solver_rhs54" localSheetId="2" hidden="1">1</definedName>
    <definedName name="solver_rhs55" localSheetId="3" hidden="1">0</definedName>
    <definedName name="solver_rhs55" localSheetId="2" hidden="1">0</definedName>
    <definedName name="solver_rhs56" localSheetId="3" hidden="1">1</definedName>
    <definedName name="solver_rhs56" localSheetId="2" hidden="1">1</definedName>
    <definedName name="solver_rhs57" localSheetId="3" hidden="1">0</definedName>
    <definedName name="solver_rhs57" localSheetId="2" hidden="1">0</definedName>
    <definedName name="solver_rhs58" localSheetId="3" hidden="1">1</definedName>
    <definedName name="solver_rhs58" localSheetId="2" hidden="1">1</definedName>
    <definedName name="solver_rhs59" localSheetId="3" hidden="1">0</definedName>
    <definedName name="solver_rhs59" localSheetId="2" hidden="1">0</definedName>
    <definedName name="solver_rhs6" localSheetId="3" hidden="1">1</definedName>
    <definedName name="solver_rhs6" localSheetId="2" hidden="1">1</definedName>
    <definedName name="solver_rhs60" localSheetId="3" hidden="1">1</definedName>
    <definedName name="solver_rhs60" localSheetId="2" hidden="1">1</definedName>
    <definedName name="solver_rhs61" localSheetId="3" hidden="1">0</definedName>
    <definedName name="solver_rhs61" localSheetId="2" hidden="1">0</definedName>
    <definedName name="solver_rhs62" localSheetId="3" hidden="1">1</definedName>
    <definedName name="solver_rhs62" localSheetId="2" hidden="1">1</definedName>
    <definedName name="solver_rhs63" localSheetId="3" hidden="1">0</definedName>
    <definedName name="solver_rhs63" localSheetId="2" hidden="1">0</definedName>
    <definedName name="solver_rhs64" localSheetId="3" hidden="1">1</definedName>
    <definedName name="solver_rhs64" localSheetId="2" hidden="1">1</definedName>
    <definedName name="solver_rhs65" localSheetId="3" hidden="1">0</definedName>
    <definedName name="solver_rhs65" localSheetId="2" hidden="1">0</definedName>
    <definedName name="solver_rhs66" localSheetId="3" hidden="1">1</definedName>
    <definedName name="solver_rhs66" localSheetId="2" hidden="1">1</definedName>
    <definedName name="solver_rhs67" localSheetId="3" hidden="1">0</definedName>
    <definedName name="solver_rhs67" localSheetId="2" hidden="1">0</definedName>
    <definedName name="solver_rhs68" localSheetId="3" hidden="1">1</definedName>
    <definedName name="solver_rhs68" localSheetId="2" hidden="1">1</definedName>
    <definedName name="solver_rhs69" localSheetId="3" hidden="1">0</definedName>
    <definedName name="solver_rhs69" localSheetId="2" hidden="1">0</definedName>
    <definedName name="solver_rhs7" localSheetId="3" hidden="1">0</definedName>
    <definedName name="solver_rhs7" localSheetId="2" hidden="1">0</definedName>
    <definedName name="solver_rhs70" localSheetId="3" hidden="1">1</definedName>
    <definedName name="solver_rhs70" localSheetId="2" hidden="1">1</definedName>
    <definedName name="solver_rhs71" localSheetId="3" hidden="1">0</definedName>
    <definedName name="solver_rhs71" localSheetId="2" hidden="1">0</definedName>
    <definedName name="solver_rhs72" localSheetId="3" hidden="1">1</definedName>
    <definedName name="solver_rhs72" localSheetId="2" hidden="1">1</definedName>
    <definedName name="solver_rhs73" localSheetId="3" hidden="1">0</definedName>
    <definedName name="solver_rhs73" localSheetId="2" hidden="1">0</definedName>
    <definedName name="solver_rhs74" localSheetId="3" hidden="1">1</definedName>
    <definedName name="solver_rhs74" localSheetId="2" hidden="1">1</definedName>
    <definedName name="solver_rhs75" localSheetId="3" hidden="1">0</definedName>
    <definedName name="solver_rhs75" localSheetId="2" hidden="1">0</definedName>
    <definedName name="solver_rhs76" localSheetId="3" hidden="1">1</definedName>
    <definedName name="solver_rhs76" localSheetId="2" hidden="1">1</definedName>
    <definedName name="solver_rhs77" localSheetId="3" hidden="1">0</definedName>
    <definedName name="solver_rhs77" localSheetId="2" hidden="1">0</definedName>
    <definedName name="solver_rhs78" localSheetId="3" hidden="1">1</definedName>
    <definedName name="solver_rhs78" localSheetId="2" hidden="1">1</definedName>
    <definedName name="solver_rhs79" localSheetId="3" hidden="1">0</definedName>
    <definedName name="solver_rhs79" localSheetId="2" hidden="1">0</definedName>
    <definedName name="solver_rhs8" localSheetId="3" hidden="1">1</definedName>
    <definedName name="solver_rhs8" localSheetId="2" hidden="1">1</definedName>
    <definedName name="solver_rhs80" localSheetId="3" hidden="1">1</definedName>
    <definedName name="solver_rhs80" localSheetId="2" hidden="1">1</definedName>
    <definedName name="solver_rhs81" localSheetId="3" hidden="1">0</definedName>
    <definedName name="solver_rhs81" localSheetId="2" hidden="1">0</definedName>
    <definedName name="solver_rhs82" localSheetId="3" hidden="1">1</definedName>
    <definedName name="solver_rhs82" localSheetId="2" hidden="1">1</definedName>
    <definedName name="solver_rhs83" localSheetId="3" hidden="1">0</definedName>
    <definedName name="solver_rhs83" localSheetId="2" hidden="1">0</definedName>
    <definedName name="solver_rhs84" localSheetId="3" hidden="1">1</definedName>
    <definedName name="solver_rhs84" localSheetId="2" hidden="1">1</definedName>
    <definedName name="solver_rhs85" localSheetId="2" hidden="1">0</definedName>
    <definedName name="solver_rhs86" localSheetId="2" hidden="1">1</definedName>
    <definedName name="solver_rhs87" localSheetId="2" hidden="1">0</definedName>
    <definedName name="solver_rhs88" localSheetId="2" hidden="1">1</definedName>
    <definedName name="solver_rhs89" localSheetId="2" hidden="1">0</definedName>
    <definedName name="solver_rhs9" localSheetId="3" hidden="1">0</definedName>
    <definedName name="solver_rhs9" localSheetId="2" hidden="1">0</definedName>
    <definedName name="solver_rhs90" localSheetId="2" hidden="1">1</definedName>
    <definedName name="solver_rhs91" localSheetId="2" hidden="1">0</definedName>
    <definedName name="solver_rhs92" localSheetId="2" hidden="1">1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1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2</definedName>
    <definedName name="solver_typ" localSheetId="2" hidden="1">2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  <definedName name="SSE_adaptive">calcAdaptive!$K$2</definedName>
    <definedName name="SSE_simple">calcSimple!$G$2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4" l="1"/>
  <c r="G3" i="4"/>
  <c r="C4" i="4"/>
  <c r="F4" i="4"/>
  <c r="E3" i="4"/>
  <c r="E4" i="4"/>
  <c r="G4" i="4"/>
  <c r="C5" i="4"/>
  <c r="D4" i="4"/>
  <c r="F5" i="4"/>
  <c r="E5" i="4"/>
  <c r="G5" i="4"/>
  <c r="C6" i="4"/>
  <c r="D5" i="4"/>
  <c r="F6" i="4"/>
  <c r="E6" i="4"/>
  <c r="G6" i="4"/>
  <c r="C7" i="4"/>
  <c r="D6" i="4"/>
  <c r="F7" i="4"/>
  <c r="E7" i="4"/>
  <c r="G7" i="4"/>
  <c r="C8" i="4"/>
  <c r="D7" i="4"/>
  <c r="F8" i="4"/>
  <c r="E8" i="4"/>
  <c r="G8" i="4"/>
  <c r="C9" i="4"/>
  <c r="D8" i="4"/>
  <c r="F9" i="4"/>
  <c r="E9" i="4"/>
  <c r="G9" i="4"/>
  <c r="C10" i="4"/>
  <c r="D9" i="4"/>
  <c r="F10" i="4"/>
  <c r="E10" i="4"/>
  <c r="G10" i="4"/>
  <c r="C11" i="4"/>
  <c r="D10" i="4"/>
  <c r="F11" i="4"/>
  <c r="E11" i="4"/>
  <c r="G11" i="4"/>
  <c r="C12" i="4"/>
  <c r="D11" i="4"/>
  <c r="F12" i="4"/>
  <c r="E12" i="4"/>
  <c r="G12" i="4"/>
  <c r="C13" i="4"/>
  <c r="D12" i="4"/>
  <c r="F13" i="4"/>
  <c r="E13" i="4"/>
  <c r="G13" i="4"/>
  <c r="C14" i="4"/>
  <c r="D13" i="4"/>
  <c r="F14" i="4"/>
  <c r="E14" i="4"/>
  <c r="G14" i="4"/>
  <c r="C15" i="4"/>
  <c r="D14" i="4"/>
  <c r="F15" i="4"/>
  <c r="E15" i="4"/>
  <c r="G15" i="4"/>
  <c r="C16" i="4"/>
  <c r="D15" i="4"/>
  <c r="F16" i="4"/>
  <c r="E16" i="4"/>
  <c r="G16" i="4"/>
  <c r="C17" i="4"/>
  <c r="D16" i="4"/>
  <c r="F17" i="4"/>
  <c r="E17" i="4"/>
  <c r="G17" i="4"/>
  <c r="C18" i="4"/>
  <c r="D17" i="4"/>
  <c r="F18" i="4"/>
  <c r="E18" i="4"/>
  <c r="G18" i="4"/>
  <c r="C19" i="4"/>
  <c r="D18" i="4"/>
  <c r="F19" i="4"/>
  <c r="E19" i="4"/>
  <c r="G19" i="4"/>
  <c r="C20" i="4"/>
  <c r="D19" i="4"/>
  <c r="F20" i="4"/>
  <c r="E20" i="4"/>
  <c r="G20" i="4"/>
  <c r="C21" i="4"/>
  <c r="D20" i="4"/>
  <c r="F21" i="4"/>
  <c r="E21" i="4"/>
  <c r="G21" i="4"/>
  <c r="C22" i="4"/>
  <c r="D21" i="4"/>
  <c r="F22" i="4"/>
  <c r="E22" i="4"/>
  <c r="G22" i="4"/>
  <c r="C23" i="4"/>
  <c r="D22" i="4"/>
  <c r="F23" i="4"/>
  <c r="E23" i="4"/>
  <c r="G23" i="4"/>
  <c r="C24" i="4"/>
  <c r="D23" i="4"/>
  <c r="F24" i="4"/>
  <c r="E24" i="4"/>
  <c r="G24" i="4"/>
  <c r="C25" i="4"/>
  <c r="D24" i="4"/>
  <c r="F25" i="4"/>
  <c r="E25" i="4"/>
  <c r="G25" i="4"/>
  <c r="C26" i="4"/>
  <c r="D25" i="4"/>
  <c r="F26" i="4"/>
  <c r="E26" i="4"/>
  <c r="G26" i="4"/>
  <c r="C27" i="4"/>
  <c r="D26" i="4"/>
  <c r="F27" i="4"/>
  <c r="E27" i="4"/>
  <c r="G27" i="4"/>
  <c r="C28" i="4"/>
  <c r="D27" i="4"/>
  <c r="F28" i="4"/>
  <c r="E28" i="4"/>
  <c r="G28" i="4"/>
  <c r="C29" i="4"/>
  <c r="D28" i="4"/>
  <c r="F29" i="4"/>
  <c r="E29" i="4"/>
  <c r="G29" i="4"/>
  <c r="C30" i="4"/>
  <c r="D29" i="4"/>
  <c r="F30" i="4"/>
  <c r="E30" i="4"/>
  <c r="G30" i="4"/>
  <c r="C31" i="4"/>
  <c r="D30" i="4"/>
  <c r="F31" i="4"/>
  <c r="E31" i="4"/>
  <c r="G31" i="4"/>
  <c r="C32" i="4"/>
  <c r="D31" i="4"/>
  <c r="F32" i="4"/>
  <c r="E32" i="4"/>
  <c r="G32" i="4"/>
  <c r="C33" i="4"/>
  <c r="D32" i="4"/>
  <c r="F33" i="4"/>
  <c r="E33" i="4"/>
  <c r="G33" i="4"/>
  <c r="C34" i="4"/>
  <c r="D33" i="4"/>
  <c r="F34" i="4"/>
  <c r="E34" i="4"/>
  <c r="G34" i="4"/>
  <c r="C35" i="4"/>
  <c r="D34" i="4"/>
  <c r="F35" i="4"/>
  <c r="E35" i="4"/>
  <c r="G35" i="4"/>
  <c r="C36" i="4"/>
  <c r="D35" i="4"/>
  <c r="F36" i="4"/>
  <c r="E36" i="4"/>
  <c r="G36" i="4"/>
  <c r="C37" i="4"/>
  <c r="D36" i="4"/>
  <c r="F37" i="4"/>
  <c r="E37" i="4"/>
  <c r="G37" i="4"/>
  <c r="C38" i="4"/>
  <c r="D37" i="4"/>
  <c r="F38" i="4"/>
  <c r="E38" i="4"/>
  <c r="G38" i="4"/>
  <c r="C39" i="4"/>
  <c r="D38" i="4"/>
  <c r="F39" i="4"/>
  <c r="E39" i="4"/>
  <c r="G39" i="4"/>
  <c r="C40" i="4"/>
  <c r="D39" i="4"/>
  <c r="F40" i="4"/>
  <c r="E40" i="4"/>
  <c r="G40" i="4"/>
  <c r="C41" i="4"/>
  <c r="D40" i="4"/>
  <c r="F41" i="4"/>
  <c r="E41" i="4"/>
  <c r="G41" i="4"/>
  <c r="C42" i="4"/>
  <c r="D41" i="4"/>
  <c r="F42" i="4"/>
  <c r="E42" i="4"/>
  <c r="G42" i="4"/>
  <c r="C43" i="4"/>
  <c r="D42" i="4"/>
  <c r="F43" i="4"/>
  <c r="E43" i="4"/>
  <c r="G43" i="4"/>
  <c r="C44" i="4"/>
  <c r="D43" i="4"/>
  <c r="F44" i="4"/>
  <c r="E44" i="4"/>
  <c r="G44" i="4"/>
  <c r="C45" i="4"/>
  <c r="D44" i="4"/>
  <c r="F45" i="4"/>
  <c r="E45" i="4"/>
  <c r="G45" i="4"/>
  <c r="C46" i="4"/>
  <c r="D45" i="4"/>
  <c r="F46" i="4"/>
  <c r="E46" i="4"/>
  <c r="G46" i="4"/>
  <c r="C47" i="4"/>
  <c r="D46" i="4"/>
  <c r="F47" i="4"/>
  <c r="E47" i="4"/>
  <c r="G47" i="4"/>
  <c r="C48" i="4"/>
  <c r="D47" i="4"/>
  <c r="F48" i="4"/>
  <c r="E48" i="4"/>
  <c r="G48" i="4"/>
  <c r="C49" i="4"/>
  <c r="D48" i="4"/>
  <c r="F49" i="4"/>
  <c r="E49" i="4"/>
  <c r="G49" i="4"/>
  <c r="C50" i="4"/>
  <c r="D49" i="4"/>
  <c r="F50" i="4"/>
  <c r="E50" i="4"/>
  <c r="G50" i="4"/>
  <c r="C51" i="4"/>
  <c r="D50" i="4"/>
  <c r="F51" i="4"/>
  <c r="E51" i="4"/>
  <c r="G51" i="4"/>
  <c r="C52" i="4"/>
  <c r="D51" i="4"/>
  <c r="F52" i="4"/>
  <c r="E52" i="4"/>
  <c r="G52" i="4"/>
  <c r="C53" i="4"/>
  <c r="D52" i="4"/>
  <c r="F53" i="4"/>
  <c r="E53" i="4"/>
  <c r="G53" i="4"/>
  <c r="C54" i="4"/>
  <c r="D53" i="4"/>
  <c r="F54" i="4"/>
  <c r="E54" i="4"/>
  <c r="G54" i="4"/>
  <c r="C55" i="4"/>
  <c r="D54" i="4"/>
  <c r="F55" i="4"/>
  <c r="E55" i="4"/>
  <c r="G55" i="4"/>
  <c r="C56" i="4"/>
  <c r="D55" i="4"/>
  <c r="F56" i="4"/>
  <c r="E56" i="4"/>
  <c r="G56" i="4"/>
  <c r="C57" i="4"/>
  <c r="D56" i="4"/>
  <c r="F57" i="4"/>
  <c r="E57" i="4"/>
  <c r="G57" i="4"/>
  <c r="C58" i="4"/>
  <c r="D57" i="4"/>
  <c r="F58" i="4"/>
  <c r="E58" i="4"/>
  <c r="G58" i="4"/>
  <c r="C59" i="4"/>
  <c r="D58" i="4"/>
  <c r="F59" i="4"/>
  <c r="E59" i="4"/>
  <c r="G59" i="4"/>
  <c r="C60" i="4"/>
  <c r="D59" i="4"/>
  <c r="F60" i="4"/>
  <c r="E60" i="4"/>
  <c r="G60" i="4"/>
  <c r="C61" i="4"/>
  <c r="D60" i="4"/>
  <c r="F61" i="4"/>
  <c r="E61" i="4"/>
  <c r="G61" i="4"/>
  <c r="C62" i="4"/>
  <c r="D61" i="4"/>
  <c r="F62" i="4"/>
  <c r="E62" i="4"/>
  <c r="G62" i="4"/>
  <c r="C63" i="4"/>
  <c r="D62" i="4"/>
  <c r="F63" i="4"/>
  <c r="E63" i="4"/>
  <c r="G63" i="4"/>
  <c r="C64" i="4"/>
  <c r="D63" i="4"/>
  <c r="F64" i="4"/>
  <c r="E64" i="4"/>
  <c r="G64" i="4"/>
  <c r="C65" i="4"/>
  <c r="D64" i="4"/>
  <c r="F65" i="4"/>
  <c r="E65" i="4"/>
  <c r="G65" i="4"/>
  <c r="C66" i="4"/>
  <c r="D65" i="4"/>
  <c r="F66" i="4"/>
  <c r="E66" i="4"/>
  <c r="G66" i="4"/>
  <c r="C67" i="4"/>
  <c r="D66" i="4"/>
  <c r="F67" i="4"/>
  <c r="E67" i="4"/>
  <c r="G67" i="4"/>
  <c r="C68" i="4"/>
  <c r="D67" i="4"/>
  <c r="F68" i="4"/>
  <c r="E68" i="4"/>
  <c r="G68" i="4"/>
  <c r="C69" i="4"/>
  <c r="D68" i="4"/>
  <c r="F69" i="4"/>
  <c r="E69" i="4"/>
  <c r="G69" i="4"/>
  <c r="C70" i="4"/>
  <c r="D69" i="4"/>
  <c r="F70" i="4"/>
  <c r="E70" i="4"/>
  <c r="G70" i="4"/>
  <c r="C71" i="4"/>
  <c r="D70" i="4"/>
  <c r="F71" i="4"/>
  <c r="E71" i="4"/>
  <c r="G71" i="4"/>
  <c r="C72" i="4"/>
  <c r="D71" i="4"/>
  <c r="F72" i="4"/>
  <c r="E72" i="4"/>
  <c r="G72" i="4"/>
  <c r="C73" i="4"/>
  <c r="D72" i="4"/>
  <c r="F73" i="4"/>
  <c r="E73" i="4"/>
  <c r="G73" i="4"/>
  <c r="C74" i="4"/>
  <c r="D73" i="4"/>
  <c r="F74" i="4"/>
  <c r="E74" i="4"/>
  <c r="G74" i="4"/>
  <c r="C75" i="4"/>
  <c r="D74" i="4"/>
  <c r="F75" i="4"/>
  <c r="E75" i="4"/>
  <c r="G75" i="4"/>
  <c r="C76" i="4"/>
  <c r="D75" i="4"/>
  <c r="F76" i="4"/>
  <c r="E76" i="4"/>
  <c r="G76" i="4"/>
  <c r="C77" i="4"/>
  <c r="D76" i="4"/>
  <c r="F77" i="4"/>
  <c r="E77" i="4"/>
  <c r="G77" i="4"/>
  <c r="C78" i="4"/>
  <c r="D77" i="4"/>
  <c r="F78" i="4"/>
  <c r="E78" i="4"/>
  <c r="G78" i="4"/>
  <c r="C79" i="4"/>
  <c r="D78" i="4"/>
  <c r="F79" i="4"/>
  <c r="E79" i="4"/>
  <c r="G79" i="4"/>
  <c r="C80" i="4"/>
  <c r="D79" i="4"/>
  <c r="F80" i="4"/>
  <c r="E80" i="4"/>
  <c r="G80" i="4"/>
  <c r="C81" i="4"/>
  <c r="D80" i="4"/>
  <c r="F81" i="4"/>
  <c r="E81" i="4"/>
  <c r="G81" i="4"/>
  <c r="C82" i="4"/>
  <c r="D81" i="4"/>
  <c r="F82" i="4"/>
  <c r="E82" i="4"/>
  <c r="G82" i="4"/>
  <c r="C83" i="4"/>
  <c r="D82" i="4"/>
  <c r="F83" i="4"/>
  <c r="E83" i="4"/>
  <c r="G83" i="4"/>
  <c r="C84" i="4"/>
  <c r="D83" i="4"/>
  <c r="F84" i="4"/>
  <c r="E84" i="4"/>
  <c r="G84" i="4"/>
  <c r="C85" i="4"/>
  <c r="D84" i="4"/>
  <c r="F85" i="4"/>
  <c r="E85" i="4"/>
  <c r="G85" i="4"/>
  <c r="C86" i="4"/>
  <c r="D85" i="4"/>
  <c r="F86" i="4"/>
  <c r="E86" i="4"/>
  <c r="G86" i="4"/>
  <c r="C87" i="4"/>
  <c r="D86" i="4"/>
  <c r="F87" i="4"/>
  <c r="E87" i="4"/>
  <c r="G87" i="4"/>
  <c r="C88" i="4"/>
  <c r="D87" i="4"/>
  <c r="F88" i="4"/>
  <c r="E88" i="4"/>
  <c r="G88" i="4"/>
  <c r="C89" i="4"/>
  <c r="D88" i="4"/>
  <c r="F89" i="4"/>
  <c r="E89" i="4"/>
  <c r="G89" i="4"/>
  <c r="C90" i="4"/>
  <c r="D89" i="4"/>
  <c r="F90" i="4"/>
  <c r="E90" i="4"/>
  <c r="G90" i="4"/>
  <c r="C91" i="4"/>
  <c r="D90" i="4"/>
  <c r="F91" i="4"/>
  <c r="E91" i="4"/>
  <c r="G91" i="4"/>
  <c r="C92" i="4"/>
  <c r="D91" i="4"/>
  <c r="F92" i="4"/>
  <c r="E92" i="4"/>
  <c r="G92" i="4"/>
  <c r="C93" i="4"/>
  <c r="D92" i="4"/>
  <c r="F93" i="4"/>
  <c r="E93" i="4"/>
  <c r="G93" i="4"/>
  <c r="C94" i="4"/>
  <c r="D93" i="4"/>
  <c r="F94" i="4"/>
  <c r="E94" i="4"/>
  <c r="G94" i="4"/>
  <c r="C95" i="4"/>
  <c r="D94" i="4"/>
  <c r="F95" i="4"/>
  <c r="E95" i="4"/>
  <c r="G95" i="4"/>
  <c r="C96" i="4"/>
  <c r="D95" i="4"/>
  <c r="F96" i="4"/>
  <c r="E96" i="4"/>
  <c r="G96" i="4"/>
  <c r="C97" i="4"/>
  <c r="D96" i="4"/>
  <c r="F97" i="4"/>
  <c r="E97" i="4"/>
  <c r="G97" i="4"/>
  <c r="C98" i="4"/>
  <c r="D97" i="4"/>
  <c r="F98" i="4"/>
  <c r="E98" i="4"/>
  <c r="G98" i="4"/>
  <c r="C99" i="4"/>
  <c r="D98" i="4"/>
  <c r="F99" i="4"/>
  <c r="E99" i="4"/>
  <c r="G99" i="4"/>
  <c r="C100" i="4"/>
  <c r="D99" i="4"/>
  <c r="F100" i="4"/>
  <c r="E100" i="4"/>
  <c r="G100" i="4"/>
  <c r="C101" i="4"/>
  <c r="D100" i="4"/>
  <c r="F101" i="4"/>
  <c r="E101" i="4"/>
  <c r="G101" i="4"/>
  <c r="C102" i="4"/>
  <c r="D101" i="4"/>
  <c r="F102" i="4"/>
  <c r="E102" i="4"/>
  <c r="G102" i="4"/>
  <c r="C103" i="4"/>
  <c r="D102" i="4"/>
  <c r="F103" i="4"/>
  <c r="E103" i="4"/>
  <c r="G103" i="4"/>
  <c r="C104" i="4"/>
  <c r="D103" i="4"/>
  <c r="F104" i="4"/>
  <c r="E104" i="4"/>
  <c r="G104" i="4"/>
  <c r="C105" i="4"/>
  <c r="D104" i="4"/>
  <c r="F105" i="4"/>
  <c r="E105" i="4"/>
  <c r="G105" i="4"/>
  <c r="C106" i="4"/>
  <c r="I105" i="4"/>
  <c r="H105" i="4"/>
  <c r="D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C2" i="4"/>
  <c r="D2" i="4"/>
  <c r="C3" i="4"/>
  <c r="D3" i="4"/>
  <c r="C2" i="3"/>
  <c r="G2" i="4"/>
  <c r="D2" i="3"/>
  <c r="D3" i="3"/>
  <c r="F2" i="3"/>
  <c r="H2" i="4"/>
  <c r="H3" i="4"/>
  <c r="J2" i="4"/>
  <c r="I3" i="4"/>
  <c r="I2" i="4"/>
  <c r="K2" i="4"/>
  <c r="E3" i="3"/>
  <c r="E2" i="3"/>
  <c r="G2" i="3"/>
</calcChain>
</file>

<file path=xl/sharedStrings.xml><?xml version="1.0" encoding="utf-8"?>
<sst xmlns="http://schemas.openxmlformats.org/spreadsheetml/2006/main" count="26" uniqueCount="15">
  <si>
    <t>Week</t>
  </si>
  <si>
    <t>Sold</t>
  </si>
  <si>
    <t>Simple</t>
  </si>
  <si>
    <t>alpha</t>
  </si>
  <si>
    <t>APE</t>
  </si>
  <si>
    <t>MAPE</t>
  </si>
  <si>
    <t>Adaptive</t>
  </si>
  <si>
    <t>SqErr</t>
  </si>
  <si>
    <t>SSE</t>
  </si>
  <si>
    <t>e_t</t>
  </si>
  <si>
    <t>Q_t</t>
  </si>
  <si>
    <t>D_t</t>
  </si>
  <si>
    <t>gamma</t>
  </si>
  <si>
    <t>omega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</si>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</sst>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calcSimple!$B$1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calcSimple!$B$2:$B$120</c:f>
              <c:numCache>
                <c:formatCode>0</c:formatCode>
                <c:ptCount val="119"/>
                <c:pt idx="0">
                  <c:v>1524.6000000000001</c:v>
                </c:pt>
                <c:pt idx="1">
                  <c:v>1960.2</c:v>
                </c:pt>
                <c:pt idx="2">
                  <c:v>2061.9</c:v>
                </c:pt>
                <c:pt idx="3">
                  <c:v>2214</c:v>
                </c:pt>
                <c:pt idx="4">
                  <c:v>1621.8</c:v>
                </c:pt>
                <c:pt idx="5">
                  <c:v>1926.9</c:v>
                </c:pt>
                <c:pt idx="6">
                  <c:v>1952.1000000000001</c:v>
                </c:pt>
                <c:pt idx="7">
                  <c:v>2214.9</c:v>
                </c:pt>
                <c:pt idx="8">
                  <c:v>2009.7</c:v>
                </c:pt>
                <c:pt idx="9">
                  <c:v>2068.2000000000003</c:v>
                </c:pt>
                <c:pt idx="10">
                  <c:v>1865.7</c:v>
                </c:pt>
                <c:pt idx="11">
                  <c:v>1445.4</c:v>
                </c:pt>
                <c:pt idx="12">
                  <c:v>1723.5</c:v>
                </c:pt>
                <c:pt idx="13">
                  <c:v>2421.1000000000004</c:v>
                </c:pt>
                <c:pt idx="14">
                  <c:v>1797.4</c:v>
                </c:pt>
                <c:pt idx="15">
                  <c:v>2289.1000000000004</c:v>
                </c:pt>
                <c:pt idx="16">
                  <c:v>2072.4</c:v>
                </c:pt>
                <c:pt idx="17">
                  <c:v>2653.2000000000003</c:v>
                </c:pt>
                <c:pt idx="18">
                  <c:v>2557.5</c:v>
                </c:pt>
                <c:pt idx="19">
                  <c:v>1712.7</c:v>
                </c:pt>
                <c:pt idx="20">
                  <c:v>2206.7999999999997</c:v>
                </c:pt>
                <c:pt idx="21">
                  <c:v>2140.7999999999997</c:v>
                </c:pt>
                <c:pt idx="22">
                  <c:v>2546.4</c:v>
                </c:pt>
                <c:pt idx="23">
                  <c:v>2322</c:v>
                </c:pt>
                <c:pt idx="24">
                  <c:v>2295.6</c:v>
                </c:pt>
                <c:pt idx="25">
                  <c:v>2632.7999999999997</c:v>
                </c:pt>
                <c:pt idx="26">
                  <c:v>2574</c:v>
                </c:pt>
                <c:pt idx="27">
                  <c:v>2646</c:v>
                </c:pt>
                <c:pt idx="28">
                  <c:v>2014.8</c:v>
                </c:pt>
                <c:pt idx="29">
                  <c:v>1998</c:v>
                </c:pt>
                <c:pt idx="30">
                  <c:v>2976</c:v>
                </c:pt>
                <c:pt idx="31">
                  <c:v>1867.1999999999998</c:v>
                </c:pt>
                <c:pt idx="32">
                  <c:v>1845.6</c:v>
                </c:pt>
                <c:pt idx="33">
                  <c:v>2764.7999999999997</c:v>
                </c:pt>
                <c:pt idx="34">
                  <c:v>2088</c:v>
                </c:pt>
                <c:pt idx="35">
                  <c:v>2553.6</c:v>
                </c:pt>
                <c:pt idx="36">
                  <c:v>1980</c:v>
                </c:pt>
                <c:pt idx="37">
                  <c:v>2842.7999999999997</c:v>
                </c:pt>
                <c:pt idx="38">
                  <c:v>2328</c:v>
                </c:pt>
                <c:pt idx="39">
                  <c:v>2404</c:v>
                </c:pt>
                <c:pt idx="40">
                  <c:v>1614</c:v>
                </c:pt>
                <c:pt idx="41">
                  <c:v>1851</c:v>
                </c:pt>
                <c:pt idx="42">
                  <c:v>1648</c:v>
                </c:pt>
                <c:pt idx="43">
                  <c:v>1637</c:v>
                </c:pt>
                <c:pt idx="44">
                  <c:v>2211.3000000000002</c:v>
                </c:pt>
                <c:pt idx="45">
                  <c:v>1754.1000000000001</c:v>
                </c:pt>
                <c:pt idx="46">
                  <c:v>1600.2</c:v>
                </c:pt>
                <c:pt idx="47">
                  <c:v>2001.6000000000001</c:v>
                </c:pt>
                <c:pt idx="48">
                  <c:v>1812.6000000000001</c:v>
                </c:pt>
                <c:pt idx="49">
                  <c:v>2025</c:v>
                </c:pt>
                <c:pt idx="50">
                  <c:v>1508.4</c:v>
                </c:pt>
                <c:pt idx="51">
                  <c:v>1693.8</c:v>
                </c:pt>
                <c:pt idx="52">
                  <c:v>2007</c:v>
                </c:pt>
                <c:pt idx="53">
                  <c:v>1642.5</c:v>
                </c:pt>
                <c:pt idx="54">
                  <c:v>1917</c:v>
                </c:pt>
                <c:pt idx="55">
                  <c:v>1721.7</c:v>
                </c:pt>
                <c:pt idx="56">
                  <c:v>1440</c:v>
                </c:pt>
                <c:pt idx="57">
                  <c:v>1775.7</c:v>
                </c:pt>
                <c:pt idx="58">
                  <c:v>2242.8000000000002</c:v>
                </c:pt>
                <c:pt idx="59">
                  <c:v>1638.9</c:v>
                </c:pt>
                <c:pt idx="60">
                  <c:v>1717.2</c:v>
                </c:pt>
                <c:pt idx="61">
                  <c:v>2664.2000000000003</c:v>
                </c:pt>
                <c:pt idx="62">
                  <c:v>2063.6000000000004</c:v>
                </c:pt>
                <c:pt idx="63">
                  <c:v>1993.2000000000003</c:v>
                </c:pt>
                <c:pt idx="64">
                  <c:v>1870.0000000000002</c:v>
                </c:pt>
                <c:pt idx="65">
                  <c:v>2328</c:v>
                </c:pt>
                <c:pt idx="66">
                  <c:v>1825.2</c:v>
                </c:pt>
                <c:pt idx="67">
                  <c:v>2660.4</c:v>
                </c:pt>
                <c:pt idx="68">
                  <c:v>2955.6</c:v>
                </c:pt>
                <c:pt idx="69">
                  <c:v>2642.4</c:v>
                </c:pt>
                <c:pt idx="70">
                  <c:v>2485.1999999999998</c:v>
                </c:pt>
                <c:pt idx="71">
                  <c:v>2701.2</c:v>
                </c:pt>
                <c:pt idx="72">
                  <c:v>2676</c:v>
                </c:pt>
                <c:pt idx="73">
                  <c:v>2470.7999999999997</c:v>
                </c:pt>
                <c:pt idx="74">
                  <c:v>2274</c:v>
                </c:pt>
                <c:pt idx="75">
                  <c:v>2916</c:v>
                </c:pt>
                <c:pt idx="76">
                  <c:v>2569.1999999999998</c:v>
                </c:pt>
                <c:pt idx="77">
                  <c:v>2727.6</c:v>
                </c:pt>
                <c:pt idx="78">
                  <c:v>2744.4</c:v>
                </c:pt>
                <c:pt idx="79">
                  <c:v>2062.7999999999997</c:v>
                </c:pt>
                <c:pt idx="80">
                  <c:v>2218.7999999999997</c:v>
                </c:pt>
                <c:pt idx="81">
                  <c:v>2696.4</c:v>
                </c:pt>
                <c:pt idx="82">
                  <c:v>2526</c:v>
                </c:pt>
                <c:pt idx="83">
                  <c:v>2016</c:v>
                </c:pt>
                <c:pt idx="84">
                  <c:v>2952</c:v>
                </c:pt>
                <c:pt idx="85">
                  <c:v>2457.6</c:v>
                </c:pt>
                <c:pt idx="86">
                  <c:v>2907.6</c:v>
                </c:pt>
                <c:pt idx="87">
                  <c:v>1694.0000000000002</c:v>
                </c:pt>
                <c:pt idx="88">
                  <c:v>2560.8000000000002</c:v>
                </c:pt>
                <c:pt idx="89">
                  <c:v>1687.4</c:v>
                </c:pt>
                <c:pt idx="90">
                  <c:v>1772.1000000000001</c:v>
                </c:pt>
                <c:pt idx="91">
                  <c:v>1855</c:v>
                </c:pt>
                <c:pt idx="92">
                  <c:v>2068</c:v>
                </c:pt>
                <c:pt idx="93">
                  <c:v>2169.9</c:v>
                </c:pt>
                <c:pt idx="94">
                  <c:v>1863.9</c:v>
                </c:pt>
                <c:pt idx="95">
                  <c:v>1507.5</c:v>
                </c:pt>
                <c:pt idx="96">
                  <c:v>1621.8</c:v>
                </c:pt>
                <c:pt idx="97">
                  <c:v>1635.3</c:v>
                </c:pt>
                <c:pt idx="98">
                  <c:v>1503</c:v>
                </c:pt>
                <c:pt idx="99">
                  <c:v>1799.1000000000001</c:v>
                </c:pt>
                <c:pt idx="100">
                  <c:v>2171.7000000000003</c:v>
                </c:pt>
                <c:pt idx="101">
                  <c:v>1475.1000000000001</c:v>
                </c:pt>
                <c:pt idx="102">
                  <c:v>1984.5</c:v>
                </c:pt>
                <c:pt idx="103">
                  <c:v>1476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calcSimple!$C$1</c:f>
              <c:strCache>
                <c:ptCount val="1"/>
                <c:pt idx="0">
                  <c:v>Simple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calcSimple!$C$2:$C$120</c:f>
              <c:numCache>
                <c:formatCode>0</c:formatCode>
                <c:ptCount val="119"/>
                <c:pt idx="0">
                  <c:v>1524.6000000000001</c:v>
                </c:pt>
                <c:pt idx="1">
                  <c:v>1524.6000000000001</c:v>
                </c:pt>
                <c:pt idx="2">
                  <c:v>1649.7549332380534</c:v>
                </c:pt>
                <c:pt idx="3">
                  <c:v>1768.1708843743811</c:v>
                </c:pt>
                <c:pt idx="4">
                  <c:v>1896.2648081615819</c:v>
                </c:pt>
                <c:pt idx="5">
                  <c:v>1817.4066246407879</c:v>
                </c:pt>
                <c:pt idx="6">
                  <c:v>1848.8658442989406</c:v>
                </c:pt>
                <c:pt idx="7">
                  <c:v>1878.5266887999803</c:v>
                </c:pt>
                <c:pt idx="8">
                  <c:v>1975.1721876666043</c:v>
                </c:pt>
                <c:pt idx="9">
                  <c:v>1985.0925872245523</c:v>
                </c:pt>
                <c:pt idx="10">
                  <c:v>2008.9706925907105</c:v>
                </c:pt>
                <c:pt idx="11">
                  <c:v>1967.8067027694065</c:v>
                </c:pt>
                <c:pt idx="12">
                  <c:v>1817.7107982510031</c:v>
                </c:pt>
                <c:pt idx="13">
                  <c:v>1790.6425104516275</c:v>
                </c:pt>
                <c:pt idx="14">
                  <c:v>1971.7831555706753</c:v>
                </c:pt>
                <c:pt idx="15">
                  <c:v>1921.6800513620231</c:v>
                </c:pt>
                <c:pt idx="16">
                  <c:v>2027.2457518719289</c:v>
                </c:pt>
                <c:pt idx="17">
                  <c:v>2040.2192984970052</c:v>
                </c:pt>
                <c:pt idx="18">
                  <c:v>2216.3385794263495</c:v>
                </c:pt>
                <c:pt idx="19">
                  <c:v>2314.3597796451159</c:v>
                </c:pt>
                <c:pt idx="20">
                  <c:v>2141.4931828739814</c:v>
                </c:pt>
                <c:pt idx="21">
                  <c:v>2160.2568888826972</c:v>
                </c:pt>
                <c:pt idx="22">
                  <c:v>2154.6666096606259</c:v>
                </c:pt>
                <c:pt idx="23">
                  <c:v>2267.2179556547503</c:v>
                </c:pt>
                <c:pt idx="24">
                  <c:v>2282.9577240263616</c:v>
                </c:pt>
                <c:pt idx="25">
                  <c:v>2286.5900546174034</c:v>
                </c:pt>
                <c:pt idx="26">
                  <c:v>2386.0617777595266</c:v>
                </c:pt>
                <c:pt idx="27">
                  <c:v>2440.0594721061402</c:v>
                </c:pt>
                <c:pt idx="28">
                  <c:v>2499.2295203604226</c:v>
                </c:pt>
                <c:pt idx="29">
                  <c:v>2360.0450752749066</c:v>
                </c:pt>
                <c:pt idx="30">
                  <c:v>2256.0236629121955</c:v>
                </c:pt>
                <c:pt idx="31">
                  <c:v>2462.8845224190877</c:v>
                </c:pt>
                <c:pt idx="32">
                  <c:v>2291.7347138003952</c:v>
                </c:pt>
                <c:pt idx="33">
                  <c:v>2163.5529867093337</c:v>
                </c:pt>
                <c:pt idx="34">
                  <c:v>2336.3009890233193</c:v>
                </c:pt>
                <c:pt idx="35">
                  <c:v>2264.960094385679</c:v>
                </c:pt>
                <c:pt idx="36">
                  <c:v>2347.8910129279157</c:v>
                </c:pt>
                <c:pt idx="37">
                  <c:v>2242.1899680200345</c:v>
                </c:pt>
                <c:pt idx="38">
                  <c:v>2414.7549552894502</c:v>
                </c:pt>
                <c:pt idx="39">
                  <c:v>2389.8288518979871</c:v>
                </c:pt>
                <c:pt idx="40">
                  <c:v>2393.9004522070181</c:v>
                </c:pt>
                <c:pt idx="41">
                  <c:v>2169.8224241347116</c:v>
                </c:pt>
                <c:pt idx="42">
                  <c:v>2078.2195793060291</c:v>
                </c:pt>
                <c:pt idx="43">
                  <c:v>1954.6105280531608</c:v>
                </c:pt>
                <c:pt idx="44">
                  <c:v>1863.3558805917371</c:v>
                </c:pt>
                <c:pt idx="45">
                  <c:v>1963.3258600111915</c:v>
                </c:pt>
                <c:pt idx="46">
                  <c:v>1903.2118826434805</c:v>
                </c:pt>
                <c:pt idx="47">
                  <c:v>1816.15166238962</c:v>
                </c:pt>
                <c:pt idx="48">
                  <c:v>1869.4339725657794</c:v>
                </c:pt>
                <c:pt idx="49">
                  <c:v>1853.1046519915749</c:v>
                </c:pt>
                <c:pt idx="50">
                  <c:v>1902.4929688049963</c:v>
                </c:pt>
                <c:pt idx="51">
                  <c:v>1789.2636777113887</c:v>
                </c:pt>
                <c:pt idx="52">
                  <c:v>1761.8354173564119</c:v>
                </c:pt>
                <c:pt idx="53">
                  <c:v>1832.2751716564428</c:v>
                </c:pt>
                <c:pt idx="54">
                  <c:v>1777.7496919987243</c:v>
                </c:pt>
                <c:pt idx="55">
                  <c:v>1817.75856022939</c:v>
                </c:pt>
                <c:pt idx="56">
                  <c:v>1790.1593804946499</c:v>
                </c:pt>
                <c:pt idx="57">
                  <c:v>1689.5529206955546</c:v>
                </c:pt>
                <c:pt idx="58">
                  <c:v>1714.3043714737942</c:v>
                </c:pt>
                <c:pt idx="59">
                  <c:v>1866.1497229540519</c:v>
                </c:pt>
                <c:pt idx="60">
                  <c:v>1800.8571979203502</c:v>
                </c:pt>
                <c:pt idx="61">
                  <c:v>1776.8211303799369</c:v>
                </c:pt>
                <c:pt idx="62">
                  <c:v>2031.7794480662503</c:v>
                </c:pt>
                <c:pt idx="63">
                  <c:v>2040.922007875402</c:v>
                </c:pt>
                <c:pt idx="64">
                  <c:v>2027.210702297735</c:v>
                </c:pt>
                <c:pt idx="65">
                  <c:v>1982.0415219708746</c:v>
                </c:pt>
                <c:pt idx="66">
                  <c:v>2081.4409944705844</c:v>
                </c:pt>
                <c:pt idx="67">
                  <c:v>2007.8188077033246</c:v>
                </c:pt>
                <c:pt idx="68">
                  <c:v>2195.3159508490994</c:v>
                </c:pt>
                <c:pt idx="69">
                  <c:v>2413.7578686944566</c:v>
                </c:pt>
                <c:pt idx="70">
                  <c:v>2479.4504551934269</c:v>
                </c:pt>
                <c:pt idx="71">
                  <c:v>2481.1023925130226</c:v>
                </c:pt>
                <c:pt idx="72">
                  <c:v>2544.3399989659333</c:v>
                </c:pt>
                <c:pt idx="73">
                  <c:v>2582.16804910262</c:v>
                </c:pt>
                <c:pt idx="74">
                  <c:v>2550.1702053232566</c:v>
                </c:pt>
                <c:pt idx="75">
                  <c:v>2470.8220335841115</c:v>
                </c:pt>
                <c:pt idx="76">
                  <c:v>2598.7288716599442</c:v>
                </c:pt>
                <c:pt idx="77">
                  <c:v>2590.2447487003587</c:v>
                </c:pt>
                <c:pt idx="78">
                  <c:v>2629.7091364558742</c:v>
                </c:pt>
                <c:pt idx="79">
                  <c:v>2662.6616786273153</c:v>
                </c:pt>
                <c:pt idx="80">
                  <c:v>2490.3117053934579</c:v>
                </c:pt>
                <c:pt idx="81">
                  <c:v>2412.3019961146051</c:v>
                </c:pt>
                <c:pt idx="82">
                  <c:v>2493.9279527476187</c:v>
                </c:pt>
                <c:pt idx="83">
                  <c:v>2503.1427712340269</c:v>
                </c:pt>
                <c:pt idx="84">
                  <c:v>2363.1787652395483</c:v>
                </c:pt>
                <c:pt idx="85">
                  <c:v>2532.356640183516</c:v>
                </c:pt>
                <c:pt idx="86">
                  <c:v>2510.8778469987842</c:v>
                </c:pt>
                <c:pt idx="87">
                  <c:v>2624.8625452837332</c:v>
                </c:pt>
                <c:pt idx="88">
                  <c:v>2357.4106634912864</c:v>
                </c:pt>
                <c:pt idx="89">
                  <c:v>2415.8477131517088</c:v>
                </c:pt>
                <c:pt idx="90">
                  <c:v>2206.5528901330804</c:v>
                </c:pt>
                <c:pt idx="91">
                  <c:v>2081.7275401338038</c:v>
                </c:pt>
                <c:pt idx="92">
                  <c:v>2016.5850466795471</c:v>
                </c:pt>
                <c:pt idx="93">
                  <c:v>2031.3573952797742</c:v>
                </c:pt>
                <c:pt idx="94">
                  <c:v>2071.1629288986583</c:v>
                </c:pt>
                <c:pt idx="95">
                  <c:v>2011.6129334233715</c:v>
                </c:pt>
                <c:pt idx="96">
                  <c:v>1866.7731250509169</c:v>
                </c:pt>
                <c:pt idx="97">
                  <c:v>1796.3883796173432</c:v>
                </c:pt>
                <c:pt idx="98">
                  <c:v>1750.1050798091826</c:v>
                </c:pt>
                <c:pt idx="99">
                  <c:v>1679.1077892529336</c:v>
                </c:pt>
                <c:pt idx="100">
                  <c:v>1713.5834943152281</c:v>
                </c:pt>
                <c:pt idx="101">
                  <c:v>1845.2077842239239</c:v>
                </c:pt>
                <c:pt idx="102">
                  <c:v>1738.8698250287243</c:v>
                </c:pt>
                <c:pt idx="103">
                  <c:v>1809.4433515433739</c:v>
                </c:pt>
                <c:pt idx="104">
                  <c:v>1713.6396775280302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594888"/>
        <c:axId val="513597632"/>
      </c:lineChart>
      <c:catAx>
        <c:axId val="51359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97632"/>
        <c:crosses val="autoZero"/>
        <c:auto val="1"/>
        <c:lblAlgn val="ctr"/>
        <c:lblOffset val="100"/>
        <c:noMultiLvlLbl val="0"/>
      </c:catAx>
      <c:valAx>
        <c:axId val="5135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9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calcAdaptive!$B$1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calcAdaptive!$B$2:$B$120</c:f>
              <c:numCache>
                <c:formatCode>0</c:formatCode>
                <c:ptCount val="119"/>
                <c:pt idx="0">
                  <c:v>1524.6000000000001</c:v>
                </c:pt>
                <c:pt idx="1">
                  <c:v>1960.2</c:v>
                </c:pt>
                <c:pt idx="2">
                  <c:v>2061.9</c:v>
                </c:pt>
                <c:pt idx="3">
                  <c:v>2214</c:v>
                </c:pt>
                <c:pt idx="4">
                  <c:v>1621.8</c:v>
                </c:pt>
                <c:pt idx="5">
                  <c:v>1926.9</c:v>
                </c:pt>
                <c:pt idx="6">
                  <c:v>1952.1000000000001</c:v>
                </c:pt>
                <c:pt idx="7">
                  <c:v>2214.9</c:v>
                </c:pt>
                <c:pt idx="8">
                  <c:v>2009.7</c:v>
                </c:pt>
                <c:pt idx="9">
                  <c:v>2068.2000000000003</c:v>
                </c:pt>
                <c:pt idx="10">
                  <c:v>1865.7</c:v>
                </c:pt>
                <c:pt idx="11">
                  <c:v>1445.4</c:v>
                </c:pt>
                <c:pt idx="12">
                  <c:v>1723.5</c:v>
                </c:pt>
                <c:pt idx="13">
                  <c:v>2421.1000000000004</c:v>
                </c:pt>
                <c:pt idx="14">
                  <c:v>1797.4</c:v>
                </c:pt>
                <c:pt idx="15">
                  <c:v>2289.1000000000004</c:v>
                </c:pt>
                <c:pt idx="16">
                  <c:v>2072.4</c:v>
                </c:pt>
                <c:pt idx="17">
                  <c:v>2653.2000000000003</c:v>
                </c:pt>
                <c:pt idx="18">
                  <c:v>2557.5</c:v>
                </c:pt>
                <c:pt idx="19">
                  <c:v>1712.7</c:v>
                </c:pt>
                <c:pt idx="20">
                  <c:v>2206.7999999999997</c:v>
                </c:pt>
                <c:pt idx="21">
                  <c:v>2140.7999999999997</c:v>
                </c:pt>
                <c:pt idx="22">
                  <c:v>2546.4</c:v>
                </c:pt>
                <c:pt idx="23">
                  <c:v>2322</c:v>
                </c:pt>
                <c:pt idx="24">
                  <c:v>2295.6</c:v>
                </c:pt>
                <c:pt idx="25">
                  <c:v>2632.7999999999997</c:v>
                </c:pt>
                <c:pt idx="26">
                  <c:v>2574</c:v>
                </c:pt>
                <c:pt idx="27">
                  <c:v>2646</c:v>
                </c:pt>
                <c:pt idx="28">
                  <c:v>2014.8</c:v>
                </c:pt>
                <c:pt idx="29">
                  <c:v>1998</c:v>
                </c:pt>
                <c:pt idx="30">
                  <c:v>2976</c:v>
                </c:pt>
                <c:pt idx="31">
                  <c:v>1867.1999999999998</c:v>
                </c:pt>
                <c:pt idx="32">
                  <c:v>1845.6</c:v>
                </c:pt>
                <c:pt idx="33">
                  <c:v>2764.7999999999997</c:v>
                </c:pt>
                <c:pt idx="34">
                  <c:v>2088</c:v>
                </c:pt>
                <c:pt idx="35">
                  <c:v>2553.6</c:v>
                </c:pt>
                <c:pt idx="36">
                  <c:v>1980</c:v>
                </c:pt>
                <c:pt idx="37">
                  <c:v>2842.7999999999997</c:v>
                </c:pt>
                <c:pt idx="38">
                  <c:v>2328</c:v>
                </c:pt>
                <c:pt idx="39">
                  <c:v>2404</c:v>
                </c:pt>
                <c:pt idx="40">
                  <c:v>1614</c:v>
                </c:pt>
                <c:pt idx="41">
                  <c:v>1851</c:v>
                </c:pt>
                <c:pt idx="42">
                  <c:v>1648</c:v>
                </c:pt>
                <c:pt idx="43">
                  <c:v>1637</c:v>
                </c:pt>
                <c:pt idx="44">
                  <c:v>2211.3000000000002</c:v>
                </c:pt>
                <c:pt idx="45">
                  <c:v>1754.1000000000001</c:v>
                </c:pt>
                <c:pt idx="46">
                  <c:v>1600.2</c:v>
                </c:pt>
                <c:pt idx="47">
                  <c:v>2001.6000000000001</c:v>
                </c:pt>
                <c:pt idx="48">
                  <c:v>1812.6000000000001</c:v>
                </c:pt>
                <c:pt idx="49">
                  <c:v>2025</c:v>
                </c:pt>
                <c:pt idx="50">
                  <c:v>1508.4</c:v>
                </c:pt>
                <c:pt idx="51">
                  <c:v>1693.8</c:v>
                </c:pt>
                <c:pt idx="52">
                  <c:v>2007</c:v>
                </c:pt>
                <c:pt idx="53">
                  <c:v>1642.5</c:v>
                </c:pt>
                <c:pt idx="54">
                  <c:v>1917</c:v>
                </c:pt>
                <c:pt idx="55">
                  <c:v>1721.7</c:v>
                </c:pt>
                <c:pt idx="56">
                  <c:v>1440</c:v>
                </c:pt>
                <c:pt idx="57">
                  <c:v>1775.7</c:v>
                </c:pt>
                <c:pt idx="58">
                  <c:v>2242.8000000000002</c:v>
                </c:pt>
                <c:pt idx="59">
                  <c:v>1638.9</c:v>
                </c:pt>
                <c:pt idx="60">
                  <c:v>1717.2</c:v>
                </c:pt>
                <c:pt idx="61">
                  <c:v>2664.2000000000003</c:v>
                </c:pt>
                <c:pt idx="62">
                  <c:v>2063.6000000000004</c:v>
                </c:pt>
                <c:pt idx="63">
                  <c:v>1993.2000000000003</c:v>
                </c:pt>
                <c:pt idx="64">
                  <c:v>1870.0000000000002</c:v>
                </c:pt>
                <c:pt idx="65">
                  <c:v>2328</c:v>
                </c:pt>
                <c:pt idx="66">
                  <c:v>1825.2</c:v>
                </c:pt>
                <c:pt idx="67">
                  <c:v>2660.4</c:v>
                </c:pt>
                <c:pt idx="68">
                  <c:v>2955.6</c:v>
                </c:pt>
                <c:pt idx="69">
                  <c:v>2642.4</c:v>
                </c:pt>
                <c:pt idx="70">
                  <c:v>2485.1999999999998</c:v>
                </c:pt>
                <c:pt idx="71">
                  <c:v>2701.2</c:v>
                </c:pt>
                <c:pt idx="72">
                  <c:v>2676</c:v>
                </c:pt>
                <c:pt idx="73">
                  <c:v>2470.7999999999997</c:v>
                </c:pt>
                <c:pt idx="74">
                  <c:v>2274</c:v>
                </c:pt>
                <c:pt idx="75">
                  <c:v>2916</c:v>
                </c:pt>
                <c:pt idx="76">
                  <c:v>2569.1999999999998</c:v>
                </c:pt>
                <c:pt idx="77">
                  <c:v>2727.6</c:v>
                </c:pt>
                <c:pt idx="78">
                  <c:v>2744.4</c:v>
                </c:pt>
                <c:pt idx="79">
                  <c:v>2062.7999999999997</c:v>
                </c:pt>
                <c:pt idx="80">
                  <c:v>2218.7999999999997</c:v>
                </c:pt>
                <c:pt idx="81">
                  <c:v>2696.4</c:v>
                </c:pt>
                <c:pt idx="82">
                  <c:v>2526</c:v>
                </c:pt>
                <c:pt idx="83">
                  <c:v>2016</c:v>
                </c:pt>
                <c:pt idx="84">
                  <c:v>2952</c:v>
                </c:pt>
                <c:pt idx="85">
                  <c:v>2457.6</c:v>
                </c:pt>
                <c:pt idx="86">
                  <c:v>2907.6</c:v>
                </c:pt>
                <c:pt idx="87">
                  <c:v>1694.0000000000002</c:v>
                </c:pt>
                <c:pt idx="88">
                  <c:v>2560.8000000000002</c:v>
                </c:pt>
                <c:pt idx="89">
                  <c:v>1687.4</c:v>
                </c:pt>
                <c:pt idx="90">
                  <c:v>1772.1000000000001</c:v>
                </c:pt>
                <c:pt idx="91">
                  <c:v>1855</c:v>
                </c:pt>
                <c:pt idx="92">
                  <c:v>2068</c:v>
                </c:pt>
                <c:pt idx="93">
                  <c:v>2169.9</c:v>
                </c:pt>
                <c:pt idx="94">
                  <c:v>1863.9</c:v>
                </c:pt>
                <c:pt idx="95">
                  <c:v>1507.5</c:v>
                </c:pt>
                <c:pt idx="96">
                  <c:v>1621.8</c:v>
                </c:pt>
                <c:pt idx="97">
                  <c:v>1635.3</c:v>
                </c:pt>
                <c:pt idx="98">
                  <c:v>1503</c:v>
                </c:pt>
                <c:pt idx="99">
                  <c:v>1799.1000000000001</c:v>
                </c:pt>
                <c:pt idx="100">
                  <c:v>2171.7000000000003</c:v>
                </c:pt>
                <c:pt idx="101">
                  <c:v>1475.1000000000001</c:v>
                </c:pt>
                <c:pt idx="102">
                  <c:v>1984.5</c:v>
                </c:pt>
                <c:pt idx="103">
                  <c:v>1476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calcAdaptive!$C$1</c:f>
              <c:strCache>
                <c:ptCount val="1"/>
                <c:pt idx="0">
                  <c:v>Adaptive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calcAdaptive!$C$2:$C$120</c:f>
              <c:numCache>
                <c:formatCode>0</c:formatCode>
                <c:ptCount val="119"/>
                <c:pt idx="0">
                  <c:v>1524.6000000000001</c:v>
                </c:pt>
                <c:pt idx="1">
                  <c:v>1524.6000000000001</c:v>
                </c:pt>
                <c:pt idx="2">
                  <c:v>1524.6000000000001</c:v>
                </c:pt>
                <c:pt idx="3">
                  <c:v>2061.9</c:v>
                </c:pt>
                <c:pt idx="4">
                  <c:v>2214</c:v>
                </c:pt>
                <c:pt idx="5">
                  <c:v>1621.8</c:v>
                </c:pt>
                <c:pt idx="6">
                  <c:v>1665.4573032519993</c:v>
                </c:pt>
                <c:pt idx="7">
                  <c:v>1756.9940281944332</c:v>
                </c:pt>
                <c:pt idx="8">
                  <c:v>1960.8172108944871</c:v>
                </c:pt>
                <c:pt idx="9">
                  <c:v>1989.5526547014431</c:v>
                </c:pt>
                <c:pt idx="10">
                  <c:v>2036.7965252416152</c:v>
                </c:pt>
                <c:pt idx="11">
                  <c:v>1930.2181854739786</c:v>
                </c:pt>
                <c:pt idx="12">
                  <c:v>1726.0163582478112</c:v>
                </c:pt>
                <c:pt idx="13">
                  <c:v>1726.0020448572454</c:v>
                </c:pt>
                <c:pt idx="14">
                  <c:v>1728.7137122161976</c:v>
                </c:pt>
                <c:pt idx="15">
                  <c:v>1753.9812540506259</c:v>
                </c:pt>
                <c:pt idx="16">
                  <c:v>1964.5797569951656</c:v>
                </c:pt>
                <c:pt idx="17">
                  <c:v>2024.7192964632627</c:v>
                </c:pt>
                <c:pt idx="18">
                  <c:v>2391.9892488608439</c:v>
                </c:pt>
                <c:pt idx="19">
                  <c:v>2508.7582174044501</c:v>
                </c:pt>
                <c:pt idx="20">
                  <c:v>1927.7701873758065</c:v>
                </c:pt>
                <c:pt idx="21">
                  <c:v>1977.9824587661974</c:v>
                </c:pt>
                <c:pt idx="22">
                  <c:v>2022.7159794174922</c:v>
                </c:pt>
                <c:pt idx="23">
                  <c:v>2194.4443818581353</c:v>
                </c:pt>
                <c:pt idx="24">
                  <c:v>2254.8497348909327</c:v>
                </c:pt>
                <c:pt idx="25">
                  <c:v>2275.3982773282519</c:v>
                </c:pt>
                <c:pt idx="26">
                  <c:v>2459.4087344995282</c:v>
                </c:pt>
                <c:pt idx="27">
                  <c:v>2528.4317206984606</c:v>
                </c:pt>
                <c:pt idx="28">
                  <c:v>2602.2173417704325</c:v>
                </c:pt>
                <c:pt idx="29">
                  <c:v>2218.0207171604407</c:v>
                </c:pt>
                <c:pt idx="30">
                  <c:v>2181.072198874173</c:v>
                </c:pt>
                <c:pt idx="31">
                  <c:v>2208.3899729173067</c:v>
                </c:pt>
                <c:pt idx="32">
                  <c:v>2089.1081776294573</c:v>
                </c:pt>
                <c:pt idx="33">
                  <c:v>2050.3687951539428</c:v>
                </c:pt>
                <c:pt idx="34">
                  <c:v>2076.5029538619642</c:v>
                </c:pt>
                <c:pt idx="35">
                  <c:v>2079.8779829336104</c:v>
                </c:pt>
                <c:pt idx="36">
                  <c:v>2220.618660597796</c:v>
                </c:pt>
                <c:pt idx="37">
                  <c:v>2116.1598922482494</c:v>
                </c:pt>
                <c:pt idx="38">
                  <c:v>2323.1638890447603</c:v>
                </c:pt>
                <c:pt idx="39">
                  <c:v>2325.4731477118039</c:v>
                </c:pt>
                <c:pt idx="40">
                  <c:v>2363.0560773169741</c:v>
                </c:pt>
                <c:pt idx="41">
                  <c:v>1989.5466527437691</c:v>
                </c:pt>
                <c:pt idx="42">
                  <c:v>1982.9046636540593</c:v>
                </c:pt>
                <c:pt idx="43">
                  <c:v>1977.4622321845634</c:v>
                </c:pt>
                <c:pt idx="44">
                  <c:v>1922.3637565176275</c:v>
                </c:pt>
                <c:pt idx="45">
                  <c:v>2005.4516305426384</c:v>
                </c:pt>
                <c:pt idx="46">
                  <c:v>1975.2218243517339</c:v>
                </c:pt>
                <c:pt idx="47">
                  <c:v>1891.4951661222804</c:v>
                </c:pt>
                <c:pt idx="48">
                  <c:v>1930.6204480731756</c:v>
                </c:pt>
                <c:pt idx="49">
                  <c:v>1897.5323855632166</c:v>
                </c:pt>
                <c:pt idx="50">
                  <c:v>1939.2354600317515</c:v>
                </c:pt>
                <c:pt idx="51">
                  <c:v>1841.8124428741608</c:v>
                </c:pt>
                <c:pt idx="52">
                  <c:v>1781.7843981659109</c:v>
                </c:pt>
                <c:pt idx="53">
                  <c:v>1884.5637212255101</c:v>
                </c:pt>
                <c:pt idx="54">
                  <c:v>1820.7519490786701</c:v>
                </c:pt>
                <c:pt idx="55">
                  <c:v>1856.2597920352118</c:v>
                </c:pt>
                <c:pt idx="56">
                  <c:v>1818.1359218773848</c:v>
                </c:pt>
                <c:pt idx="57">
                  <c:v>1685.7956861577075</c:v>
                </c:pt>
                <c:pt idx="58">
                  <c:v>1730.9737265895415</c:v>
                </c:pt>
                <c:pt idx="59">
                  <c:v>1940.9344375860289</c:v>
                </c:pt>
                <c:pt idx="60">
                  <c:v>1940.9344360616083</c:v>
                </c:pt>
                <c:pt idx="61">
                  <c:v>1903.4336703528936</c:v>
                </c:pt>
                <c:pt idx="62">
                  <c:v>2111.4539068994936</c:v>
                </c:pt>
                <c:pt idx="63">
                  <c:v>2104.0346442601076</c:v>
                </c:pt>
                <c:pt idx="64">
                  <c:v>2089.9522412374363</c:v>
                </c:pt>
                <c:pt idx="65">
                  <c:v>2077.3147380612809</c:v>
                </c:pt>
                <c:pt idx="66">
                  <c:v>2096.2312882484557</c:v>
                </c:pt>
                <c:pt idx="67">
                  <c:v>2074.7473865026654</c:v>
                </c:pt>
                <c:pt idx="68">
                  <c:v>2125.8594978404594</c:v>
                </c:pt>
                <c:pt idx="69">
                  <c:v>2307.0992905352218</c:v>
                </c:pt>
                <c:pt idx="70">
                  <c:v>2463.7973167182085</c:v>
                </c:pt>
                <c:pt idx="71">
                  <c:v>2475.2948909987208</c:v>
                </c:pt>
                <c:pt idx="72">
                  <c:v>2597.6684879035724</c:v>
                </c:pt>
                <c:pt idx="73">
                  <c:v>2643.9593118047496</c:v>
                </c:pt>
                <c:pt idx="74">
                  <c:v>2538.662278115607</c:v>
                </c:pt>
                <c:pt idx="75">
                  <c:v>2419.4211255036253</c:v>
                </c:pt>
                <c:pt idx="76">
                  <c:v>2535.5247099875764</c:v>
                </c:pt>
                <c:pt idx="77">
                  <c:v>2549.783538595826</c:v>
                </c:pt>
                <c:pt idx="78">
                  <c:v>2627.0542048550583</c:v>
                </c:pt>
                <c:pt idx="79">
                  <c:v>2685.1345964699863</c:v>
                </c:pt>
                <c:pt idx="80">
                  <c:v>2353.1048022882578</c:v>
                </c:pt>
                <c:pt idx="81">
                  <c:v>2347.7887215346213</c:v>
                </c:pt>
                <c:pt idx="82">
                  <c:v>2361.3129475369565</c:v>
                </c:pt>
                <c:pt idx="83">
                  <c:v>2386.8641144194116</c:v>
                </c:pt>
                <c:pt idx="84">
                  <c:v>2299.9466681770832</c:v>
                </c:pt>
                <c:pt idx="85">
                  <c:v>2306.9084835827257</c:v>
                </c:pt>
                <c:pt idx="86">
                  <c:v>2349.5421088188446</c:v>
                </c:pt>
                <c:pt idx="87">
                  <c:v>2536.6416228937046</c:v>
                </c:pt>
                <c:pt idx="88">
                  <c:v>2119.2622549312882</c:v>
                </c:pt>
                <c:pt idx="89">
                  <c:v>2140.569995750363</c:v>
                </c:pt>
                <c:pt idx="90">
                  <c:v>2051.7445827839611</c:v>
                </c:pt>
                <c:pt idx="91">
                  <c:v>2049.5998698749713</c:v>
                </c:pt>
                <c:pt idx="92">
                  <c:v>2031.0268213340526</c:v>
                </c:pt>
                <c:pt idx="93">
                  <c:v>2037.1338855536433</c:v>
                </c:pt>
                <c:pt idx="94">
                  <c:v>2056.4505518345063</c:v>
                </c:pt>
                <c:pt idx="95">
                  <c:v>2043.0868535820123</c:v>
                </c:pt>
                <c:pt idx="96">
                  <c:v>1955.3087408636027</c:v>
                </c:pt>
                <c:pt idx="97">
                  <c:v>1831.2568529593723</c:v>
                </c:pt>
                <c:pt idx="98">
                  <c:v>1739.4386914081135</c:v>
                </c:pt>
                <c:pt idx="99">
                  <c:v>1616.6078402768326</c:v>
                </c:pt>
                <c:pt idx="100">
                  <c:v>1721.8887005655424</c:v>
                </c:pt>
                <c:pt idx="101">
                  <c:v>1912.1542537764603</c:v>
                </c:pt>
                <c:pt idx="102">
                  <c:v>1864.1710386484585</c:v>
                </c:pt>
                <c:pt idx="103">
                  <c:v>1898.8648727397058</c:v>
                </c:pt>
                <c:pt idx="104">
                  <c:v>1810.0829099425068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25000"/>
        <c:axId val="552183360"/>
      </c:lineChart>
      <c:catAx>
        <c:axId val="414725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360"/>
        <c:crosses val="autoZero"/>
        <c:auto val="1"/>
        <c:lblAlgn val="ctr"/>
        <c:lblOffset val="100"/>
        <c:noMultiLvlLbl val="0"/>
      </c:catAx>
      <c:valAx>
        <c:axId val="55218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2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0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6"/>
  <sheetViews>
    <sheetView zoomScale="10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949" cy="606877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949" cy="606877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3"/>
  <sheetViews>
    <sheetView tabSelected="1" workbookViewId="0">
      <selection activeCell="R10" sqref="R10"/>
    </sheetView>
  </sheetViews>
  <sheetFormatPr defaultColWidth="8.796875" defaultRowHeight="14.35" x14ac:dyDescent="0.45"/>
  <cols>
    <col min="1" max="3" width="7.73046875" customWidth="1"/>
    <col min="4" max="5" width="7.73046875" style="3" customWidth="1"/>
    <col min="6" max="6" width="7.73046875" customWidth="1"/>
    <col min="7" max="7" width="7.73046875" style="5" customWidth="1"/>
    <col min="8" max="8" width="7.73046875" style="1" customWidth="1"/>
    <col min="9" max="13" width="7.73046875" customWidth="1"/>
    <col min="14" max="14" width="8.796875" style="6"/>
  </cols>
  <sheetData>
    <row r="1" spans="1:14" x14ac:dyDescent="0.45">
      <c r="A1" s="7" t="s">
        <v>0</v>
      </c>
      <c r="B1" s="7">
        <v>95</v>
      </c>
      <c r="C1" s="7">
        <v>96</v>
      </c>
      <c r="D1" s="7">
        <v>97</v>
      </c>
      <c r="E1" s="7">
        <v>98</v>
      </c>
      <c r="F1" s="7">
        <v>99</v>
      </c>
      <c r="G1" s="7">
        <v>100</v>
      </c>
      <c r="H1" s="7">
        <v>101</v>
      </c>
      <c r="I1" s="7">
        <v>102</v>
      </c>
      <c r="J1" s="7">
        <v>103</v>
      </c>
      <c r="K1" s="7">
        <v>104</v>
      </c>
      <c r="L1" s="7">
        <v>105</v>
      </c>
      <c r="M1" s="3"/>
      <c r="N1" s="8"/>
    </row>
    <row r="2" spans="1:14" x14ac:dyDescent="0.45">
      <c r="A2" s="3" t="s">
        <v>14</v>
      </c>
      <c r="B2" s="7">
        <v>1863.9</v>
      </c>
      <c r="C2" s="7">
        <v>1507.5</v>
      </c>
      <c r="D2" s="7">
        <v>1621.8</v>
      </c>
      <c r="E2" s="7">
        <v>1635.3</v>
      </c>
      <c r="F2" s="7">
        <v>1503</v>
      </c>
      <c r="G2" s="7">
        <v>1799.1000000000001</v>
      </c>
      <c r="H2" s="7">
        <v>2171.7000000000003</v>
      </c>
      <c r="I2" s="7">
        <v>1475.1000000000001</v>
      </c>
      <c r="J2" s="7">
        <v>1984.5</v>
      </c>
      <c r="K2" s="7">
        <v>1476</v>
      </c>
      <c r="L2" s="3"/>
      <c r="M2" s="3"/>
      <c r="N2" s="8"/>
    </row>
    <row r="3" spans="1:14" x14ac:dyDescent="0.45">
      <c r="A3" s="3" t="s">
        <v>2</v>
      </c>
      <c r="B3" s="7">
        <v>2071.1629288986583</v>
      </c>
      <c r="C3" s="7">
        <v>2011.6129334233715</v>
      </c>
      <c r="D3" s="7">
        <v>1866.7731250509169</v>
      </c>
      <c r="E3" s="7">
        <v>1796.3883796173432</v>
      </c>
      <c r="F3" s="7">
        <v>1750.1050798091826</v>
      </c>
      <c r="G3" s="7">
        <v>1679.1077892529336</v>
      </c>
      <c r="H3" s="7">
        <v>1713.5834943152281</v>
      </c>
      <c r="I3" s="7">
        <v>1845.2077842239239</v>
      </c>
      <c r="J3" s="7">
        <v>1738.8698250287243</v>
      </c>
      <c r="K3" s="7">
        <v>1809.4433515433739</v>
      </c>
      <c r="L3" s="7">
        <v>1713.6396775280302</v>
      </c>
      <c r="M3" s="3"/>
      <c r="N3" s="8">
        <v>0.14371034502109972</v>
      </c>
    </row>
    <row r="4" spans="1:14" x14ac:dyDescent="0.45">
      <c r="A4" s="3" t="s">
        <v>6</v>
      </c>
      <c r="B4" s="7">
        <v>2056.4505518345063</v>
      </c>
      <c r="C4" s="7">
        <v>2043.0868535820123</v>
      </c>
      <c r="D4" s="7">
        <v>1955.3087408636027</v>
      </c>
      <c r="E4" s="7">
        <v>1831.2568529593723</v>
      </c>
      <c r="F4" s="7">
        <v>1739.4386914081135</v>
      </c>
      <c r="G4" s="7">
        <v>1616.6078402768326</v>
      </c>
      <c r="H4" s="7">
        <v>1721.8887005655424</v>
      </c>
      <c r="I4" s="7">
        <v>1912.1542537764603</v>
      </c>
      <c r="J4" s="7">
        <v>1864.1710386484585</v>
      </c>
      <c r="K4" s="7">
        <v>1898.8648727397058</v>
      </c>
      <c r="L4" s="7">
        <v>1810.0829099425068</v>
      </c>
      <c r="M4" s="3"/>
      <c r="N4" s="8">
        <v>0.14864782714334684</v>
      </c>
    </row>
    <row r="5" spans="1:14" x14ac:dyDescent="0.45">
      <c r="B5" s="1"/>
    </row>
    <row r="6" spans="1:14" x14ac:dyDescent="0.45">
      <c r="B6" s="1"/>
    </row>
    <row r="7" spans="1:14" x14ac:dyDescent="0.45">
      <c r="B7" s="1"/>
    </row>
    <row r="8" spans="1:14" x14ac:dyDescent="0.45">
      <c r="B8" s="1"/>
    </row>
    <row r="9" spans="1:14" x14ac:dyDescent="0.45">
      <c r="B9" s="1"/>
    </row>
    <row r="10" spans="1:14" x14ac:dyDescent="0.45">
      <c r="B10" s="1"/>
      <c r="F10" s="1"/>
      <c r="G10" s="4"/>
      <c r="K10" s="1"/>
      <c r="L10" s="1"/>
    </row>
    <row r="11" spans="1:14" x14ac:dyDescent="0.45">
      <c r="B11" s="1"/>
      <c r="G11" s="4"/>
      <c r="K11" s="1"/>
      <c r="L11" s="1"/>
    </row>
    <row r="21" spans="4:13" x14ac:dyDescent="0.45">
      <c r="D21"/>
      <c r="E21"/>
      <c r="G21"/>
      <c r="H21"/>
    </row>
    <row r="22" spans="4:13" x14ac:dyDescent="0.45">
      <c r="K22" s="1"/>
      <c r="L22" s="4"/>
      <c r="M22" s="1"/>
    </row>
    <row r="23" spans="4:13" x14ac:dyDescent="0.45">
      <c r="K23" s="1"/>
      <c r="L23" s="4"/>
      <c r="M23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5"/>
  <sheetViews>
    <sheetView workbookViewId="0">
      <pane ySplit="1" topLeftCell="A86" activePane="bottomLeft" state="frozen"/>
      <selection pane="bottomLeft" activeCell="G21" sqref="G21"/>
    </sheetView>
  </sheetViews>
  <sheetFormatPr defaultColWidth="8.796875" defaultRowHeight="14.35" x14ac:dyDescent="0.45"/>
  <cols>
    <col min="2" max="2" width="13.33203125" customWidth="1"/>
  </cols>
  <sheetData>
    <row r="1" spans="1:2" x14ac:dyDescent="0.45">
      <c r="A1" t="s">
        <v>0</v>
      </c>
      <c r="B1" t="s">
        <v>1</v>
      </c>
    </row>
    <row r="2" spans="1:2" x14ac:dyDescent="0.45">
      <c r="A2">
        <v>1</v>
      </c>
      <c r="B2" s="1">
        <v>1524.6000000000001</v>
      </c>
    </row>
    <row r="3" spans="1:2" x14ac:dyDescent="0.45">
      <c r="A3">
        <v>2</v>
      </c>
      <c r="B3" s="1">
        <v>1960.2</v>
      </c>
    </row>
    <row r="4" spans="1:2" x14ac:dyDescent="0.45">
      <c r="A4">
        <v>3</v>
      </c>
      <c r="B4" s="1">
        <v>2061.9</v>
      </c>
    </row>
    <row r="5" spans="1:2" x14ac:dyDescent="0.45">
      <c r="A5">
        <v>4</v>
      </c>
      <c r="B5" s="1">
        <v>2214</v>
      </c>
    </row>
    <row r="6" spans="1:2" x14ac:dyDescent="0.45">
      <c r="A6">
        <v>5</v>
      </c>
      <c r="B6" s="1">
        <v>1621.8</v>
      </c>
    </row>
    <row r="7" spans="1:2" x14ac:dyDescent="0.45">
      <c r="A7">
        <v>6</v>
      </c>
      <c r="B7" s="1">
        <v>1926.9</v>
      </c>
    </row>
    <row r="8" spans="1:2" x14ac:dyDescent="0.45">
      <c r="A8">
        <v>7</v>
      </c>
      <c r="B8" s="1">
        <v>1952.1000000000001</v>
      </c>
    </row>
    <row r="9" spans="1:2" x14ac:dyDescent="0.45">
      <c r="A9">
        <v>8</v>
      </c>
      <c r="B9" s="1">
        <v>2214.9</v>
      </c>
    </row>
    <row r="10" spans="1:2" x14ac:dyDescent="0.45">
      <c r="A10">
        <v>9</v>
      </c>
      <c r="B10" s="1">
        <v>2009.7</v>
      </c>
    </row>
    <row r="11" spans="1:2" x14ac:dyDescent="0.45">
      <c r="A11">
        <v>10</v>
      </c>
      <c r="B11" s="1">
        <v>2068.2000000000003</v>
      </c>
    </row>
    <row r="12" spans="1:2" x14ac:dyDescent="0.45">
      <c r="A12">
        <v>11</v>
      </c>
      <c r="B12" s="1">
        <v>1865.7</v>
      </c>
    </row>
    <row r="13" spans="1:2" x14ac:dyDescent="0.45">
      <c r="A13">
        <v>12</v>
      </c>
      <c r="B13" s="1">
        <v>1445.4</v>
      </c>
    </row>
    <row r="14" spans="1:2" x14ac:dyDescent="0.45">
      <c r="A14">
        <v>13</v>
      </c>
      <c r="B14" s="1">
        <v>1723.5</v>
      </c>
    </row>
    <row r="15" spans="1:2" x14ac:dyDescent="0.45">
      <c r="A15">
        <v>14</v>
      </c>
      <c r="B15" s="1">
        <v>2421.1000000000004</v>
      </c>
    </row>
    <row r="16" spans="1:2" x14ac:dyDescent="0.45">
      <c r="A16">
        <v>15</v>
      </c>
      <c r="B16" s="1">
        <v>1797.4</v>
      </c>
    </row>
    <row r="17" spans="1:2" x14ac:dyDescent="0.45">
      <c r="A17">
        <v>16</v>
      </c>
      <c r="B17" s="1">
        <v>2289.1000000000004</v>
      </c>
    </row>
    <row r="18" spans="1:2" x14ac:dyDescent="0.45">
      <c r="A18">
        <v>17</v>
      </c>
      <c r="B18" s="1">
        <v>2072.4</v>
      </c>
    </row>
    <row r="19" spans="1:2" x14ac:dyDescent="0.45">
      <c r="A19">
        <v>18</v>
      </c>
      <c r="B19" s="1">
        <v>2653.2000000000003</v>
      </c>
    </row>
    <row r="20" spans="1:2" x14ac:dyDescent="0.45">
      <c r="A20">
        <v>19</v>
      </c>
      <c r="B20" s="1">
        <v>2557.5</v>
      </c>
    </row>
    <row r="21" spans="1:2" x14ac:dyDescent="0.45">
      <c r="A21">
        <v>20</v>
      </c>
      <c r="B21" s="1">
        <v>1712.7</v>
      </c>
    </row>
    <row r="22" spans="1:2" x14ac:dyDescent="0.45">
      <c r="A22">
        <v>21</v>
      </c>
      <c r="B22" s="1">
        <v>2206.7999999999997</v>
      </c>
    </row>
    <row r="23" spans="1:2" x14ac:dyDescent="0.45">
      <c r="A23">
        <v>22</v>
      </c>
      <c r="B23" s="1">
        <v>2140.7999999999997</v>
      </c>
    </row>
    <row r="24" spans="1:2" x14ac:dyDescent="0.45">
      <c r="A24">
        <v>23</v>
      </c>
      <c r="B24" s="1">
        <v>2546.4</v>
      </c>
    </row>
    <row r="25" spans="1:2" x14ac:dyDescent="0.45">
      <c r="A25">
        <v>24</v>
      </c>
      <c r="B25" s="1">
        <v>2322</v>
      </c>
    </row>
    <row r="26" spans="1:2" x14ac:dyDescent="0.45">
      <c r="A26">
        <v>25</v>
      </c>
      <c r="B26" s="1">
        <v>2295.6</v>
      </c>
    </row>
    <row r="27" spans="1:2" x14ac:dyDescent="0.45">
      <c r="A27">
        <v>26</v>
      </c>
      <c r="B27" s="1">
        <v>2632.7999999999997</v>
      </c>
    </row>
    <row r="28" spans="1:2" x14ac:dyDescent="0.45">
      <c r="A28">
        <v>27</v>
      </c>
      <c r="B28" s="1">
        <v>2574</v>
      </c>
    </row>
    <row r="29" spans="1:2" x14ac:dyDescent="0.45">
      <c r="A29">
        <v>28</v>
      </c>
      <c r="B29" s="1">
        <v>2646</v>
      </c>
    </row>
    <row r="30" spans="1:2" x14ac:dyDescent="0.45">
      <c r="A30">
        <v>29</v>
      </c>
      <c r="B30" s="1">
        <v>2014.8</v>
      </c>
    </row>
    <row r="31" spans="1:2" x14ac:dyDescent="0.45">
      <c r="A31">
        <v>30</v>
      </c>
      <c r="B31" s="1">
        <v>1998</v>
      </c>
    </row>
    <row r="32" spans="1:2" x14ac:dyDescent="0.45">
      <c r="A32">
        <v>31</v>
      </c>
      <c r="B32" s="1">
        <v>2976</v>
      </c>
    </row>
    <row r="33" spans="1:2" x14ac:dyDescent="0.45">
      <c r="A33">
        <v>32</v>
      </c>
      <c r="B33" s="1">
        <v>1867.1999999999998</v>
      </c>
    </row>
    <row r="34" spans="1:2" x14ac:dyDescent="0.45">
      <c r="A34">
        <v>33</v>
      </c>
      <c r="B34" s="1">
        <v>1845.6</v>
      </c>
    </row>
    <row r="35" spans="1:2" x14ac:dyDescent="0.45">
      <c r="A35">
        <v>34</v>
      </c>
      <c r="B35" s="1">
        <v>2764.7999999999997</v>
      </c>
    </row>
    <row r="36" spans="1:2" x14ac:dyDescent="0.45">
      <c r="A36">
        <v>35</v>
      </c>
      <c r="B36" s="1">
        <v>2088</v>
      </c>
    </row>
    <row r="37" spans="1:2" x14ac:dyDescent="0.45">
      <c r="A37">
        <v>36</v>
      </c>
      <c r="B37" s="1">
        <v>2553.6</v>
      </c>
    </row>
    <row r="38" spans="1:2" x14ac:dyDescent="0.45">
      <c r="A38">
        <v>37</v>
      </c>
      <c r="B38" s="1">
        <v>1980</v>
      </c>
    </row>
    <row r="39" spans="1:2" x14ac:dyDescent="0.45">
      <c r="A39">
        <v>38</v>
      </c>
      <c r="B39" s="1">
        <v>2842.7999999999997</v>
      </c>
    </row>
    <row r="40" spans="1:2" x14ac:dyDescent="0.45">
      <c r="A40">
        <v>39</v>
      </c>
      <c r="B40" s="1">
        <v>2328</v>
      </c>
    </row>
    <row r="41" spans="1:2" x14ac:dyDescent="0.45">
      <c r="A41">
        <v>40</v>
      </c>
      <c r="B41" s="1">
        <v>2404</v>
      </c>
    </row>
    <row r="42" spans="1:2" x14ac:dyDescent="0.45">
      <c r="A42">
        <v>41</v>
      </c>
      <c r="B42" s="1">
        <v>1614</v>
      </c>
    </row>
    <row r="43" spans="1:2" x14ac:dyDescent="0.45">
      <c r="A43">
        <v>42</v>
      </c>
      <c r="B43" s="1">
        <v>1851</v>
      </c>
    </row>
    <row r="44" spans="1:2" x14ac:dyDescent="0.45">
      <c r="A44">
        <v>43</v>
      </c>
      <c r="B44" s="1">
        <v>1648</v>
      </c>
    </row>
    <row r="45" spans="1:2" x14ac:dyDescent="0.45">
      <c r="A45">
        <v>44</v>
      </c>
      <c r="B45" s="1">
        <v>1637</v>
      </c>
    </row>
    <row r="46" spans="1:2" x14ac:dyDescent="0.45">
      <c r="A46">
        <v>45</v>
      </c>
      <c r="B46" s="1">
        <v>2211.3000000000002</v>
      </c>
    </row>
    <row r="47" spans="1:2" x14ac:dyDescent="0.45">
      <c r="A47">
        <v>46</v>
      </c>
      <c r="B47" s="1">
        <v>1754.1000000000001</v>
      </c>
    </row>
    <row r="48" spans="1:2" x14ac:dyDescent="0.45">
      <c r="A48">
        <v>47</v>
      </c>
      <c r="B48" s="1">
        <v>1600.2</v>
      </c>
    </row>
    <row r="49" spans="1:2" x14ac:dyDescent="0.45">
      <c r="A49">
        <v>48</v>
      </c>
      <c r="B49" s="1">
        <v>2001.6000000000001</v>
      </c>
    </row>
    <row r="50" spans="1:2" x14ac:dyDescent="0.45">
      <c r="A50">
        <v>49</v>
      </c>
      <c r="B50" s="1">
        <v>1812.6000000000001</v>
      </c>
    </row>
    <row r="51" spans="1:2" x14ac:dyDescent="0.45">
      <c r="A51">
        <v>50</v>
      </c>
      <c r="B51" s="1">
        <v>2025</v>
      </c>
    </row>
    <row r="52" spans="1:2" x14ac:dyDescent="0.45">
      <c r="A52">
        <v>51</v>
      </c>
      <c r="B52" s="1">
        <v>1508.4</v>
      </c>
    </row>
    <row r="53" spans="1:2" x14ac:dyDescent="0.45">
      <c r="A53">
        <v>52</v>
      </c>
      <c r="B53" s="1">
        <v>1693.8</v>
      </c>
    </row>
    <row r="54" spans="1:2" x14ac:dyDescent="0.45">
      <c r="A54">
        <v>53</v>
      </c>
      <c r="B54" s="1">
        <v>2007</v>
      </c>
    </row>
    <row r="55" spans="1:2" x14ac:dyDescent="0.45">
      <c r="A55">
        <v>54</v>
      </c>
      <c r="B55" s="1">
        <v>1642.5</v>
      </c>
    </row>
    <row r="56" spans="1:2" x14ac:dyDescent="0.45">
      <c r="A56">
        <v>55</v>
      </c>
      <c r="B56" s="1">
        <v>1917</v>
      </c>
    </row>
    <row r="57" spans="1:2" x14ac:dyDescent="0.45">
      <c r="A57">
        <v>56</v>
      </c>
      <c r="B57" s="1">
        <v>1721.7</v>
      </c>
    </row>
    <row r="58" spans="1:2" x14ac:dyDescent="0.45">
      <c r="A58">
        <v>57</v>
      </c>
      <c r="B58" s="1">
        <v>1440</v>
      </c>
    </row>
    <row r="59" spans="1:2" x14ac:dyDescent="0.45">
      <c r="A59">
        <v>58</v>
      </c>
      <c r="B59" s="1">
        <v>1775.7</v>
      </c>
    </row>
    <row r="60" spans="1:2" x14ac:dyDescent="0.45">
      <c r="A60">
        <v>59</v>
      </c>
      <c r="B60" s="1">
        <v>2242.8000000000002</v>
      </c>
    </row>
    <row r="61" spans="1:2" x14ac:dyDescent="0.45">
      <c r="A61">
        <v>60</v>
      </c>
      <c r="B61" s="1">
        <v>1638.9</v>
      </c>
    </row>
    <row r="62" spans="1:2" x14ac:dyDescent="0.45">
      <c r="A62">
        <v>61</v>
      </c>
      <c r="B62" s="1">
        <v>1717.2</v>
      </c>
    </row>
    <row r="63" spans="1:2" x14ac:dyDescent="0.45">
      <c r="A63">
        <v>62</v>
      </c>
      <c r="B63" s="1">
        <v>2664.2000000000003</v>
      </c>
    </row>
    <row r="64" spans="1:2" x14ac:dyDescent="0.45">
      <c r="A64">
        <v>63</v>
      </c>
      <c r="B64" s="1">
        <v>2063.6000000000004</v>
      </c>
    </row>
    <row r="65" spans="1:2" x14ac:dyDescent="0.45">
      <c r="A65">
        <v>64</v>
      </c>
      <c r="B65" s="1">
        <v>1993.2000000000003</v>
      </c>
    </row>
    <row r="66" spans="1:2" x14ac:dyDescent="0.45">
      <c r="A66">
        <v>65</v>
      </c>
      <c r="B66" s="1">
        <v>1870.0000000000002</v>
      </c>
    </row>
    <row r="67" spans="1:2" x14ac:dyDescent="0.45">
      <c r="A67">
        <v>66</v>
      </c>
      <c r="B67" s="1">
        <v>2328</v>
      </c>
    </row>
    <row r="68" spans="1:2" x14ac:dyDescent="0.45">
      <c r="A68">
        <v>67</v>
      </c>
      <c r="B68" s="1">
        <v>1825.2</v>
      </c>
    </row>
    <row r="69" spans="1:2" x14ac:dyDescent="0.45">
      <c r="A69">
        <v>68</v>
      </c>
      <c r="B69" s="1">
        <v>2660.4</v>
      </c>
    </row>
    <row r="70" spans="1:2" x14ac:dyDescent="0.45">
      <c r="A70">
        <v>69</v>
      </c>
      <c r="B70" s="1">
        <v>2955.6</v>
      </c>
    </row>
    <row r="71" spans="1:2" x14ac:dyDescent="0.45">
      <c r="A71">
        <v>70</v>
      </c>
      <c r="B71" s="1">
        <v>2642.4</v>
      </c>
    </row>
    <row r="72" spans="1:2" x14ac:dyDescent="0.45">
      <c r="A72">
        <v>71</v>
      </c>
      <c r="B72" s="1">
        <v>2485.1999999999998</v>
      </c>
    </row>
    <row r="73" spans="1:2" x14ac:dyDescent="0.45">
      <c r="A73">
        <v>72</v>
      </c>
      <c r="B73" s="1">
        <v>2701.2</v>
      </c>
    </row>
    <row r="74" spans="1:2" x14ac:dyDescent="0.45">
      <c r="A74">
        <v>73</v>
      </c>
      <c r="B74" s="1">
        <v>2676</v>
      </c>
    </row>
    <row r="75" spans="1:2" x14ac:dyDescent="0.45">
      <c r="A75">
        <v>74</v>
      </c>
      <c r="B75" s="1">
        <v>2470.7999999999997</v>
      </c>
    </row>
    <row r="76" spans="1:2" x14ac:dyDescent="0.45">
      <c r="A76">
        <v>75</v>
      </c>
      <c r="B76" s="1">
        <v>2274</v>
      </c>
    </row>
    <row r="77" spans="1:2" x14ac:dyDescent="0.45">
      <c r="A77">
        <v>76</v>
      </c>
      <c r="B77" s="1">
        <v>2916</v>
      </c>
    </row>
    <row r="78" spans="1:2" x14ac:dyDescent="0.45">
      <c r="A78">
        <v>77</v>
      </c>
      <c r="B78" s="1">
        <v>2569.1999999999998</v>
      </c>
    </row>
    <row r="79" spans="1:2" x14ac:dyDescent="0.45">
      <c r="A79">
        <v>78</v>
      </c>
      <c r="B79" s="1">
        <v>2727.6</v>
      </c>
    </row>
    <row r="80" spans="1:2" x14ac:dyDescent="0.45">
      <c r="A80">
        <v>79</v>
      </c>
      <c r="B80" s="1">
        <v>2744.4</v>
      </c>
    </row>
    <row r="81" spans="1:2" x14ac:dyDescent="0.45">
      <c r="A81">
        <v>80</v>
      </c>
      <c r="B81" s="1">
        <v>2062.7999999999997</v>
      </c>
    </row>
    <row r="82" spans="1:2" x14ac:dyDescent="0.45">
      <c r="A82">
        <v>81</v>
      </c>
      <c r="B82" s="1">
        <v>2218.7999999999997</v>
      </c>
    </row>
    <row r="83" spans="1:2" x14ac:dyDescent="0.45">
      <c r="A83">
        <v>82</v>
      </c>
      <c r="B83" s="1">
        <v>2696.4</v>
      </c>
    </row>
    <row r="84" spans="1:2" x14ac:dyDescent="0.45">
      <c r="A84">
        <v>83</v>
      </c>
      <c r="B84" s="1">
        <v>2526</v>
      </c>
    </row>
    <row r="85" spans="1:2" x14ac:dyDescent="0.45">
      <c r="A85">
        <v>84</v>
      </c>
      <c r="B85" s="1">
        <v>2016</v>
      </c>
    </row>
    <row r="86" spans="1:2" x14ac:dyDescent="0.45">
      <c r="A86">
        <v>85</v>
      </c>
      <c r="B86" s="1">
        <v>2952</v>
      </c>
    </row>
    <row r="87" spans="1:2" x14ac:dyDescent="0.45">
      <c r="A87">
        <v>86</v>
      </c>
      <c r="B87" s="1">
        <v>2457.6</v>
      </c>
    </row>
    <row r="88" spans="1:2" x14ac:dyDescent="0.45">
      <c r="A88">
        <v>87</v>
      </c>
      <c r="B88" s="1">
        <v>2907.6</v>
      </c>
    </row>
    <row r="89" spans="1:2" x14ac:dyDescent="0.45">
      <c r="A89">
        <v>88</v>
      </c>
      <c r="B89" s="1">
        <v>1694.0000000000002</v>
      </c>
    </row>
    <row r="90" spans="1:2" x14ac:dyDescent="0.45">
      <c r="A90">
        <v>89</v>
      </c>
      <c r="B90" s="1">
        <v>2560.8000000000002</v>
      </c>
    </row>
    <row r="91" spans="1:2" x14ac:dyDescent="0.45">
      <c r="A91">
        <v>90</v>
      </c>
      <c r="B91" s="1">
        <v>1687.4</v>
      </c>
    </row>
    <row r="92" spans="1:2" x14ac:dyDescent="0.45">
      <c r="A92">
        <v>91</v>
      </c>
      <c r="B92" s="1">
        <v>1772.1000000000001</v>
      </c>
    </row>
    <row r="93" spans="1:2" x14ac:dyDescent="0.45">
      <c r="A93">
        <v>92</v>
      </c>
      <c r="B93" s="1">
        <v>1855</v>
      </c>
    </row>
    <row r="94" spans="1:2" x14ac:dyDescent="0.45">
      <c r="A94">
        <v>93</v>
      </c>
      <c r="B94" s="1">
        <v>2068</v>
      </c>
    </row>
    <row r="95" spans="1:2" x14ac:dyDescent="0.45">
      <c r="A95">
        <v>94</v>
      </c>
      <c r="B95" s="1">
        <v>2169.9</v>
      </c>
    </row>
    <row r="96" spans="1:2" x14ac:dyDescent="0.45">
      <c r="A96">
        <v>95</v>
      </c>
      <c r="B96" s="1">
        <v>1863.9</v>
      </c>
    </row>
    <row r="97" spans="1:2" x14ac:dyDescent="0.45">
      <c r="A97">
        <v>96</v>
      </c>
      <c r="B97" s="1">
        <v>1507.5</v>
      </c>
    </row>
    <row r="98" spans="1:2" x14ac:dyDescent="0.45">
      <c r="A98">
        <v>97</v>
      </c>
      <c r="B98" s="1">
        <v>1621.8</v>
      </c>
    </row>
    <row r="99" spans="1:2" x14ac:dyDescent="0.45">
      <c r="A99">
        <v>98</v>
      </c>
      <c r="B99" s="1">
        <v>1635.3</v>
      </c>
    </row>
    <row r="100" spans="1:2" x14ac:dyDescent="0.45">
      <c r="A100">
        <v>99</v>
      </c>
      <c r="B100" s="1">
        <v>1503</v>
      </c>
    </row>
    <row r="101" spans="1:2" x14ac:dyDescent="0.45">
      <c r="A101">
        <v>100</v>
      </c>
      <c r="B101" s="1">
        <v>1799.1000000000001</v>
      </c>
    </row>
    <row r="102" spans="1:2" x14ac:dyDescent="0.45">
      <c r="A102">
        <v>101</v>
      </c>
      <c r="B102" s="1">
        <v>2171.7000000000003</v>
      </c>
    </row>
    <row r="103" spans="1:2" x14ac:dyDescent="0.45">
      <c r="A103">
        <v>102</v>
      </c>
      <c r="B103" s="1">
        <v>1475.1000000000001</v>
      </c>
    </row>
    <row r="104" spans="1:2" x14ac:dyDescent="0.45">
      <c r="A104">
        <v>103</v>
      </c>
      <c r="B104" s="1">
        <v>1984.5</v>
      </c>
    </row>
    <row r="105" spans="1:2" x14ac:dyDescent="0.45">
      <c r="A105">
        <v>104</v>
      </c>
      <c r="B105" s="1">
        <v>1476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0"/>
  <sheetViews>
    <sheetView topLeftCell="A86" workbookViewId="0">
      <selection activeCell="C106" sqref="C106"/>
    </sheetView>
  </sheetViews>
  <sheetFormatPr defaultColWidth="8.796875" defaultRowHeight="14.35" x14ac:dyDescent="0.45"/>
  <cols>
    <col min="1" max="1" width="8.796875" style="1"/>
    <col min="2" max="2" width="13.33203125" customWidth="1"/>
    <col min="8" max="8" width="8.796875" style="2"/>
  </cols>
  <sheetData>
    <row r="1" spans="1:8" x14ac:dyDescent="0.45">
      <c r="A1" s="1" t="s">
        <v>0</v>
      </c>
      <c r="B1" t="s">
        <v>1</v>
      </c>
      <c r="C1" t="s">
        <v>2</v>
      </c>
      <c r="D1" t="s">
        <v>4</v>
      </c>
      <c r="E1" t="s">
        <v>7</v>
      </c>
      <c r="F1" t="s">
        <v>5</v>
      </c>
      <c r="G1" t="s">
        <v>8</v>
      </c>
      <c r="H1" s="2" t="s">
        <v>3</v>
      </c>
    </row>
    <row r="2" spans="1:8" x14ac:dyDescent="0.45">
      <c r="A2" s="1">
        <v>1</v>
      </c>
      <c r="B2" s="1">
        <v>1524.6000000000001</v>
      </c>
      <c r="C2" s="1">
        <f>B2</f>
        <v>1524.6000000000001</v>
      </c>
      <c r="D2">
        <f>ABS((B2-C2)/B2)</f>
        <v>0</v>
      </c>
      <c r="E2">
        <f>(B2-C2)^2</f>
        <v>0</v>
      </c>
      <c r="F2">
        <f>AVERAGE(D:D)</f>
        <v>0.14371034502109972</v>
      </c>
      <c r="G2">
        <f>SUM(E:E)</f>
        <v>13765089.35483288</v>
      </c>
      <c r="H2" s="2">
        <v>0.28731619200654995</v>
      </c>
    </row>
    <row r="3" spans="1:8" x14ac:dyDescent="0.45">
      <c r="A3" s="1">
        <v>2</v>
      </c>
      <c r="B3" s="1">
        <v>1960.2</v>
      </c>
      <c r="C3" s="1">
        <f>C2+alpha*(B2-C2)</f>
        <v>1524.6000000000001</v>
      </c>
      <c r="D3">
        <f t="shared" ref="D3:D66" si="0">ABS((B3-C3)/B3)</f>
        <v>0.22222222222222218</v>
      </c>
      <c r="E3">
        <f>(B3-C3)^2</f>
        <v>189747.35999999993</v>
      </c>
    </row>
    <row r="4" spans="1:8" x14ac:dyDescent="0.45">
      <c r="A4" s="1">
        <v>3</v>
      </c>
      <c r="B4" s="1">
        <v>2061.9</v>
      </c>
      <c r="C4" s="1">
        <f>C3+alpha*(B3-C3)</f>
        <v>1649.7549332380534</v>
      </c>
      <c r="D4">
        <f t="shared" ref="D4" si="1">ABS((B4-C4)/B4)</f>
        <v>0.19988605982925783</v>
      </c>
      <c r="E4">
        <f>(B4-C4)^2</f>
        <v>169863.55605620952</v>
      </c>
    </row>
    <row r="5" spans="1:8" x14ac:dyDescent="0.45">
      <c r="A5" s="1">
        <v>4</v>
      </c>
      <c r="B5" s="1">
        <v>2214</v>
      </c>
      <c r="C5" s="1">
        <f>C4+alpha*(B4-C4)</f>
        <v>1768.1708843743811</v>
      </c>
      <c r="D5">
        <f t="shared" ref="D5" si="2">ABS((B5-C5)/B5)</f>
        <v>0.20136816423921358</v>
      </c>
      <c r="E5">
        <f>(B5-C5)^2</f>
        <v>198763.60033952145</v>
      </c>
    </row>
    <row r="6" spans="1:8" x14ac:dyDescent="0.45">
      <c r="A6" s="1">
        <v>5</v>
      </c>
      <c r="B6" s="1">
        <v>1621.8</v>
      </c>
      <c r="C6" s="1">
        <f>C5+alpha*(B5-C5)</f>
        <v>1896.2648081615819</v>
      </c>
      <c r="D6">
        <f t="shared" ref="D6" si="3">ABS((B6-C6)/B6)</f>
        <v>0.16923468255122823</v>
      </c>
      <c r="E6">
        <f>(B6-C6)^2</f>
        <v>75330.930919173959</v>
      </c>
    </row>
    <row r="7" spans="1:8" x14ac:dyDescent="0.45">
      <c r="A7" s="1">
        <v>6</v>
      </c>
      <c r="B7" s="1">
        <v>1926.9</v>
      </c>
      <c r="C7" s="1">
        <f>C6+alpha*(B6-C6)</f>
        <v>1817.4066246407879</v>
      </c>
      <c r="D7">
        <f t="shared" ref="D7" si="4">ABS((B7-C7)/B7)</f>
        <v>5.6823589890088858E-2</v>
      </c>
      <c r="E7">
        <f>(B7-C7)^2</f>
        <v>11988.799247553343</v>
      </c>
    </row>
    <row r="8" spans="1:8" x14ac:dyDescent="0.45">
      <c r="A8" s="1">
        <v>7</v>
      </c>
      <c r="B8" s="1">
        <v>1952.1000000000001</v>
      </c>
      <c r="C8" s="1">
        <f>C7+alpha*(B7-C7)</f>
        <v>1848.8658442989406</v>
      </c>
      <c r="D8">
        <f t="shared" ref="D8" si="5">ABS((B8-C8)/B8)</f>
        <v>5.2883641053767493E-2</v>
      </c>
      <c r="E8">
        <f>(B8-C8)^2</f>
        <v>10657.290903310603</v>
      </c>
    </row>
    <row r="9" spans="1:8" x14ac:dyDescent="0.45">
      <c r="A9" s="1">
        <v>8</v>
      </c>
      <c r="B9" s="1">
        <v>2214.9</v>
      </c>
      <c r="C9" s="1">
        <f>C8+alpha*(B8-C8)</f>
        <v>1878.5266887999803</v>
      </c>
      <c r="D9">
        <f t="shared" ref="D9" si="6">ABS((B9-C9)/B9)</f>
        <v>0.1518683964061672</v>
      </c>
      <c r="E9">
        <f>(B9-C9)^2</f>
        <v>113147.00448766534</v>
      </c>
    </row>
    <row r="10" spans="1:8" x14ac:dyDescent="0.45">
      <c r="A10" s="1">
        <v>9</v>
      </c>
      <c r="B10" s="1">
        <v>2009.7</v>
      </c>
      <c r="C10" s="1">
        <f>C9+alpha*(B9-C9)</f>
        <v>1975.1721876666043</v>
      </c>
      <c r="D10">
        <f t="shared" ref="D10" si="7">ABS((B10-C10)/B10)</f>
        <v>1.7180580351990739E-2</v>
      </c>
      <c r="E10">
        <f>(B10-C10)^2</f>
        <v>1192.1698245301982</v>
      </c>
    </row>
    <row r="11" spans="1:8" x14ac:dyDescent="0.45">
      <c r="A11" s="1">
        <v>10</v>
      </c>
      <c r="B11" s="1">
        <v>2068.2000000000003</v>
      </c>
      <c r="C11" s="1">
        <f>C10+alpha*(B10-C10)</f>
        <v>1985.0925872245523</v>
      </c>
      <c r="D11">
        <f t="shared" ref="D11" si="8">ABS((B11-C11)/B11)</f>
        <v>4.0183450718232268E-2</v>
      </c>
      <c r="E11">
        <f>(B11-C11)^2</f>
        <v>6906.8420582286944</v>
      </c>
    </row>
    <row r="12" spans="1:8" x14ac:dyDescent="0.45">
      <c r="A12" s="1">
        <v>11</v>
      </c>
      <c r="B12" s="1">
        <v>1865.7</v>
      </c>
      <c r="C12" s="1">
        <f>C11+alpha*(B11-C11)</f>
        <v>2008.9706925907105</v>
      </c>
      <c r="D12">
        <f t="shared" ref="D12" si="9">ABS((B12-C12)/B12)</f>
        <v>7.679192399137616E-2</v>
      </c>
      <c r="E12">
        <f>(B12-C12)^2</f>
        <v>20526.491355421869</v>
      </c>
    </row>
    <row r="13" spans="1:8" x14ac:dyDescent="0.45">
      <c r="A13" s="1">
        <v>12</v>
      </c>
      <c r="B13" s="1">
        <v>1445.4</v>
      </c>
      <c r="C13" s="1">
        <f>C12+alpha*(B12-C12)</f>
        <v>1967.8067027694065</v>
      </c>
      <c r="D13">
        <f t="shared" ref="D13" si="10">ABS((B13-C13)/B13)</f>
        <v>0.36142708092528458</v>
      </c>
      <c r="E13">
        <f>(B13-C13)^2</f>
        <v>272908.76309840288</v>
      </c>
    </row>
    <row r="14" spans="1:8" x14ac:dyDescent="0.45">
      <c r="A14" s="1">
        <v>13</v>
      </c>
      <c r="B14" s="1">
        <v>1723.5</v>
      </c>
      <c r="C14" s="1">
        <f>C13+alpha*(B13-C13)</f>
        <v>1817.7107982510031</v>
      </c>
      <c r="D14">
        <f t="shared" ref="D14" si="11">ABS((B14-C14)/B14)</f>
        <v>5.4662488106181087E-2</v>
      </c>
      <c r="E14">
        <f>(B14-C14)^2</f>
        <v>8875.6745070912075</v>
      </c>
    </row>
    <row r="15" spans="1:8" x14ac:dyDescent="0.45">
      <c r="A15" s="1">
        <v>14</v>
      </c>
      <c r="B15" s="1">
        <v>2421.1000000000004</v>
      </c>
      <c r="C15" s="1">
        <f>C14+alpha*(B14-C14)</f>
        <v>1790.6425104516275</v>
      </c>
      <c r="D15">
        <f t="shared" ref="D15" si="12">ABS((B15-C15)/B15)</f>
        <v>0.26040125957142324</v>
      </c>
      <c r="E15">
        <f>(B15-C15)^2</f>
        <v>397476.64612763672</v>
      </c>
    </row>
    <row r="16" spans="1:8" x14ac:dyDescent="0.45">
      <c r="A16" s="1">
        <v>15</v>
      </c>
      <c r="B16" s="1">
        <v>1797.4</v>
      </c>
      <c r="C16" s="1">
        <f>C15+alpha*(B15-C15)</f>
        <v>1971.7831555706753</v>
      </c>
      <c r="D16">
        <f t="shared" ref="D16" si="13">ABS((B16-C16)/B16)</f>
        <v>9.7019670396503374E-2</v>
      </c>
      <c r="E16">
        <f>(B16-C16)^2</f>
        <v>30409.484946786299</v>
      </c>
    </row>
    <row r="17" spans="1:5" x14ac:dyDescent="0.45">
      <c r="A17" s="1">
        <v>16</v>
      </c>
      <c r="B17" s="1">
        <v>2289.1000000000004</v>
      </c>
      <c r="C17" s="1">
        <f>C16+alpha*(B16-C16)</f>
        <v>1921.6800513620231</v>
      </c>
      <c r="D17">
        <f t="shared" ref="D17" si="14">ABS((B17-C17)/B17)</f>
        <v>0.16050847435148191</v>
      </c>
      <c r="E17">
        <f>(B17-C17)^2</f>
        <v>134997.41865713388</v>
      </c>
    </row>
    <row r="18" spans="1:5" x14ac:dyDescent="0.45">
      <c r="A18" s="1">
        <v>17</v>
      </c>
      <c r="B18" s="1">
        <v>2072.4</v>
      </c>
      <c r="C18" s="1">
        <f>C17+alpha*(B17-C17)</f>
        <v>2027.2457518719289</v>
      </c>
      <c r="D18">
        <f t="shared" ref="D18" si="15">ABS((B18-C18)/B18)</f>
        <v>2.1788384543558786E-2</v>
      </c>
      <c r="E18">
        <f>(B18-C18)^2</f>
        <v>2038.9061240114243</v>
      </c>
    </row>
    <row r="19" spans="1:5" x14ac:dyDescent="0.45">
      <c r="A19" s="1">
        <v>18</v>
      </c>
      <c r="B19" s="1">
        <v>2653.2000000000003</v>
      </c>
      <c r="C19" s="1">
        <f>C18+alpha*(B18-C18)</f>
        <v>2040.2192984970052</v>
      </c>
      <c r="D19">
        <f t="shared" ref="D19" si="16">ABS((B19-C19)/B19)</f>
        <v>0.23103448722410486</v>
      </c>
      <c r="E19">
        <f>(B19-C19)^2</f>
        <v>375745.34041510394</v>
      </c>
    </row>
    <row r="20" spans="1:5" x14ac:dyDescent="0.45">
      <c r="A20" s="1">
        <v>19</v>
      </c>
      <c r="B20" s="1">
        <v>2557.5</v>
      </c>
      <c r="C20" s="1">
        <f>C19+alpha*(B19-C19)</f>
        <v>2216.3385794263495</v>
      </c>
      <c r="D20">
        <f t="shared" ref="D20" si="17">ABS((B20-C20)/B20)</f>
        <v>0.13339644988217028</v>
      </c>
      <c r="E20">
        <f>(B20-C20)^2</f>
        <v>116391.11488783124</v>
      </c>
    </row>
    <row r="21" spans="1:5" x14ac:dyDescent="0.45">
      <c r="A21" s="1">
        <v>20</v>
      </c>
      <c r="B21" s="1">
        <v>1712.7</v>
      </c>
      <c r="C21" s="1">
        <f>C20+alpha*(B20-C20)</f>
        <v>2314.3597796451159</v>
      </c>
      <c r="D21">
        <f t="shared" ref="D21" si="18">ABS((B21-C21)/B21)</f>
        <v>0.35129315095761998</v>
      </c>
      <c r="E21">
        <f>(B21-C21)^2</f>
        <v>361994.4904426093</v>
      </c>
    </row>
    <row r="22" spans="1:5" x14ac:dyDescent="0.45">
      <c r="A22" s="1">
        <v>21</v>
      </c>
      <c r="B22" s="1">
        <v>2206.7999999999997</v>
      </c>
      <c r="C22" s="1">
        <f>C21+alpha*(B21-C21)</f>
        <v>2141.4931828739814</v>
      </c>
      <c r="D22">
        <f t="shared" ref="D22" si="19">ABS((B22-C22)/B22)</f>
        <v>2.959344622349935E-2</v>
      </c>
      <c r="E22">
        <f>(B22-C22)^2</f>
        <v>4264.9803631312052</v>
      </c>
    </row>
    <row r="23" spans="1:5" x14ac:dyDescent="0.45">
      <c r="A23" s="1">
        <v>22</v>
      </c>
      <c r="B23" s="1">
        <v>2140.7999999999997</v>
      </c>
      <c r="C23" s="1">
        <f>C22+alpha*(B22-C22)</f>
        <v>2160.2568888826972</v>
      </c>
      <c r="D23">
        <f t="shared" ref="D23" si="20">ABS((B23-C23)/B23)</f>
        <v>9.088606540871411E-3</v>
      </c>
      <c r="E23">
        <f>(B23-C23)^2</f>
        <v>378.57052499363806</v>
      </c>
    </row>
    <row r="24" spans="1:5" x14ac:dyDescent="0.45">
      <c r="A24" s="1">
        <v>23</v>
      </c>
      <c r="B24" s="1">
        <v>2546.4</v>
      </c>
      <c r="C24" s="1">
        <f>C23+alpha*(B23-C23)</f>
        <v>2154.6666096606259</v>
      </c>
      <c r="D24">
        <f t="shared" ref="D24" si="21">ABS((B24-C24)/B24)</f>
        <v>0.15383812061709637</v>
      </c>
      <c r="E24">
        <f>(B24-C24)^2</f>
        <v>153455.0491067805</v>
      </c>
    </row>
    <row r="25" spans="1:5" x14ac:dyDescent="0.45">
      <c r="A25" s="1">
        <v>24</v>
      </c>
      <c r="B25" s="1">
        <v>2322</v>
      </c>
      <c r="C25" s="1">
        <f>C24+alpha*(B24-C24)</f>
        <v>2267.2179556547503</v>
      </c>
      <c r="D25">
        <f t="shared" ref="D25" si="22">ABS((B25-C25)/B25)</f>
        <v>2.3592611690460674E-2</v>
      </c>
      <c r="E25">
        <f>(B25-C25)^2</f>
        <v>3001.0723826449034</v>
      </c>
    </row>
    <row r="26" spans="1:5" x14ac:dyDescent="0.45">
      <c r="A26" s="1">
        <v>25</v>
      </c>
      <c r="B26" s="1">
        <v>2295.6</v>
      </c>
      <c r="C26" s="1">
        <f>C25+alpha*(B25-C25)</f>
        <v>2282.9577240263616</v>
      </c>
      <c r="D26">
        <f t="shared" ref="D26" si="23">ABS((B26-C26)/B26)</f>
        <v>5.5071771970893598E-3</v>
      </c>
      <c r="E26">
        <f>(B26-C26)^2</f>
        <v>159.82714179363307</v>
      </c>
    </row>
    <row r="27" spans="1:5" x14ac:dyDescent="0.45">
      <c r="A27" s="1">
        <v>26</v>
      </c>
      <c r="B27" s="1">
        <v>2632.7999999999997</v>
      </c>
      <c r="C27" s="1">
        <f>C26+alpha*(B26-C26)</f>
        <v>2286.5900546174034</v>
      </c>
      <c r="D27">
        <f t="shared" ref="D27" si="24">ABS((B27-C27)/B27)</f>
        <v>0.1314987638189746</v>
      </c>
      <c r="E27">
        <f>(B27-C27)^2</f>
        <v>119861.32628182031</v>
      </c>
    </row>
    <row r="28" spans="1:5" x14ac:dyDescent="0.45">
      <c r="A28" s="1">
        <v>27</v>
      </c>
      <c r="B28" s="1">
        <v>2574</v>
      </c>
      <c r="C28" s="1">
        <f>C27+alpha*(B27-C27)</f>
        <v>2386.0617777595266</v>
      </c>
      <c r="D28">
        <f t="shared" ref="D28" si="25">ABS((B28-C28)/B28)</f>
        <v>7.3014072354496251E-2</v>
      </c>
      <c r="E28">
        <f>(B28-C28)^2</f>
        <v>35320.775378909551</v>
      </c>
    </row>
    <row r="29" spans="1:5" x14ac:dyDescent="0.45">
      <c r="A29" s="1">
        <v>28</v>
      </c>
      <c r="B29" s="1">
        <v>2646</v>
      </c>
      <c r="C29" s="1">
        <f>C28+alpha*(B28-C28)</f>
        <v>2440.0594721061402</v>
      </c>
      <c r="D29">
        <f t="shared" ref="D29" si="26">ABS((B29-C29)/B29)</f>
        <v>7.7830887337059632E-2</v>
      </c>
      <c r="E29">
        <f>(B29-C29)^2</f>
        <v>42411.501029201638</v>
      </c>
    </row>
    <row r="30" spans="1:5" x14ac:dyDescent="0.45">
      <c r="A30" s="1">
        <v>29</v>
      </c>
      <c r="B30" s="1">
        <v>2014.8</v>
      </c>
      <c r="C30" s="1">
        <f>C29+alpha*(B29-C29)</f>
        <v>2499.2295203604226</v>
      </c>
      <c r="D30">
        <f t="shared" ref="D30" si="27">ABS((B30-C30)/B30)</f>
        <v>0.24043553720489511</v>
      </c>
      <c r="E30">
        <f>(B30-C30)^2</f>
        <v>234671.96019662914</v>
      </c>
    </row>
    <row r="31" spans="1:5" x14ac:dyDescent="0.45">
      <c r="A31" s="1">
        <v>30</v>
      </c>
      <c r="B31" s="1">
        <v>1998</v>
      </c>
      <c r="C31" s="1">
        <f>C30+alpha*(B30-C30)</f>
        <v>2360.0450752749066</v>
      </c>
      <c r="D31">
        <f t="shared" ref="D31" si="28">ABS((B31-C31)/B31)</f>
        <v>0.18120374137883213</v>
      </c>
      <c r="E31">
        <f>(B31-C31)^2</f>
        <v>131076.63653081277</v>
      </c>
    </row>
    <row r="32" spans="1:5" x14ac:dyDescent="0.45">
      <c r="A32" s="1">
        <v>31</v>
      </c>
      <c r="B32" s="1">
        <v>2976</v>
      </c>
      <c r="C32" s="1">
        <f>C31+alpha*(B31-C31)</f>
        <v>2256.0236629121955</v>
      </c>
      <c r="D32">
        <f t="shared" ref="D32" si="29">ABS((B32-C32)/B32)</f>
        <v>0.24192753262359021</v>
      </c>
      <c r="E32">
        <f>(B32-C32)^2</f>
        <v>518365.9259663719</v>
      </c>
    </row>
    <row r="33" spans="1:5" x14ac:dyDescent="0.45">
      <c r="A33" s="1">
        <v>32</v>
      </c>
      <c r="B33" s="1">
        <v>1867.1999999999998</v>
      </c>
      <c r="C33" s="1">
        <f>C32+alpha*(B32-C32)</f>
        <v>2462.8845224190877</v>
      </c>
      <c r="D33">
        <f t="shared" ref="D33" si="30">ABS((B33-C33)/B33)</f>
        <v>0.31902555827928875</v>
      </c>
      <c r="E33">
        <f>(B33-C33)^2</f>
        <v>354840.05024965684</v>
      </c>
    </row>
    <row r="34" spans="1:5" x14ac:dyDescent="0.45">
      <c r="A34" s="1">
        <v>33</v>
      </c>
      <c r="B34" s="1">
        <v>1845.6</v>
      </c>
      <c r="C34" s="1">
        <f>C33+alpha*(B33-C33)</f>
        <v>2291.7347138003952</v>
      </c>
      <c r="D34">
        <f t="shared" ref="D34" si="31">ABS((B34-C34)/B34)</f>
        <v>0.24172882195513398</v>
      </c>
      <c r="E34">
        <f>(B34-C34)^2</f>
        <v>199036.18285776061</v>
      </c>
    </row>
    <row r="35" spans="1:5" x14ac:dyDescent="0.45">
      <c r="A35" s="1">
        <v>34</v>
      </c>
      <c r="B35" s="1">
        <v>2764.7999999999997</v>
      </c>
      <c r="C35" s="1">
        <f>C34+alpha*(B34-C34)</f>
        <v>2163.5529867093337</v>
      </c>
      <c r="D35">
        <f t="shared" ref="D35" si="32">ABS((B35-C35)/B35)</f>
        <v>0.2174649208950615</v>
      </c>
      <c r="E35">
        <f>(B35-C35)^2</f>
        <v>361497.97099094634</v>
      </c>
    </row>
    <row r="36" spans="1:5" x14ac:dyDescent="0.45">
      <c r="A36" s="1">
        <v>35</v>
      </c>
      <c r="B36" s="1">
        <v>2088</v>
      </c>
      <c r="C36" s="1">
        <f>C35+alpha*(B35-C35)</f>
        <v>2336.3009890233193</v>
      </c>
      <c r="D36">
        <f t="shared" ref="D36" si="33">ABS((B36-C36)/B36)</f>
        <v>0.11891809819124487</v>
      </c>
      <c r="E36">
        <f>(B36-C36)^2</f>
        <v>61653.381149958528</v>
      </c>
    </row>
    <row r="37" spans="1:5" x14ac:dyDescent="0.45">
      <c r="A37" s="1">
        <v>36</v>
      </c>
      <c r="B37" s="1">
        <v>2553.6</v>
      </c>
      <c r="C37" s="1">
        <f>C36+alpha*(B36-C36)</f>
        <v>2264.960094385679</v>
      </c>
      <c r="D37">
        <f t="shared" ref="D37" si="34">ABS((B37-C37)/B37)</f>
        <v>0.11303254449182368</v>
      </c>
      <c r="E37">
        <f>(B37-C37)^2</f>
        <v>83312.99511304409</v>
      </c>
    </row>
    <row r="38" spans="1:5" x14ac:dyDescent="0.45">
      <c r="A38" s="1">
        <v>37</v>
      </c>
      <c r="B38" s="1">
        <v>1980</v>
      </c>
      <c r="C38" s="1">
        <f>C37+alpha*(B37-C37)</f>
        <v>2347.8910129279157</v>
      </c>
      <c r="D38">
        <f t="shared" ref="D38" si="35">ABS((B38-C38)/B38)</f>
        <v>0.18580354188278569</v>
      </c>
      <c r="E38">
        <f>(B38-C38)^2</f>
        <v>135343.79739312781</v>
      </c>
    </row>
    <row r="39" spans="1:5" x14ac:dyDescent="0.45">
      <c r="A39" s="1">
        <v>38</v>
      </c>
      <c r="B39" s="1">
        <v>2842.7999999999997</v>
      </c>
      <c r="C39" s="1">
        <f>C38+alpha*(B38-C38)</f>
        <v>2242.1899680200345</v>
      </c>
      <c r="D39">
        <f t="shared" ref="D39" si="36">ABS((B39-C39)/B39)</f>
        <v>0.21127410721118803</v>
      </c>
      <c r="E39">
        <f>(B39-C39)^2</f>
        <v>360732.41051497485</v>
      </c>
    </row>
    <row r="40" spans="1:5" x14ac:dyDescent="0.45">
      <c r="A40" s="1">
        <v>39</v>
      </c>
      <c r="B40" s="1">
        <v>2328</v>
      </c>
      <c r="C40" s="1">
        <f>C39+alpha*(B39-C39)</f>
        <v>2414.7549552894502</v>
      </c>
      <c r="D40">
        <f t="shared" ref="D40" si="37">ABS((B40-C40)/B40)</f>
        <v>3.7265874265227754E-2</v>
      </c>
      <c r="E40">
        <f>(B40-C40)^2</f>
        <v>7526.4222672745045</v>
      </c>
    </row>
    <row r="41" spans="1:5" x14ac:dyDescent="0.45">
      <c r="A41" s="1">
        <v>40</v>
      </c>
      <c r="B41" s="1">
        <v>2404</v>
      </c>
      <c r="C41" s="1">
        <f>C40+alpha*(B40-C40)</f>
        <v>2389.8288518979871</v>
      </c>
      <c r="D41">
        <f t="shared" ref="D41" si="38">ABS((B41-C41)/B41)</f>
        <v>5.8948203419354915E-3</v>
      </c>
      <c r="E41">
        <f>(B41-C41)^2</f>
        <v>200.82143852918443</v>
      </c>
    </row>
    <row r="42" spans="1:5" x14ac:dyDescent="0.45">
      <c r="A42" s="1">
        <v>41</v>
      </c>
      <c r="B42" s="1">
        <v>1614</v>
      </c>
      <c r="C42" s="1">
        <f>C41+alpha*(B41-C41)</f>
        <v>2393.9004522070181</v>
      </c>
      <c r="D42">
        <f t="shared" ref="D42" si="39">ABS((B42-C42)/B42)</f>
        <v>0.48320969777386502</v>
      </c>
      <c r="E42">
        <f>(B42-C42)^2</f>
        <v>608244.71535271138</v>
      </c>
    </row>
    <row r="43" spans="1:5" x14ac:dyDescent="0.45">
      <c r="A43" s="1">
        <v>42</v>
      </c>
      <c r="B43" s="1">
        <v>1851</v>
      </c>
      <c r="C43" s="1">
        <f>C42+alpha*(B42-C42)</f>
        <v>2169.8224241347116</v>
      </c>
      <c r="D43">
        <f t="shared" ref="D43" si="40">ABS((B43-C43)/B43)</f>
        <v>0.17224334096959026</v>
      </c>
      <c r="E43">
        <f>(B43-C43)^2</f>
        <v>101647.73813113393</v>
      </c>
    </row>
    <row r="44" spans="1:5" x14ac:dyDescent="0.45">
      <c r="A44" s="1">
        <v>43</v>
      </c>
      <c r="B44" s="1">
        <v>1648</v>
      </c>
      <c r="C44" s="1">
        <f>C43+alpha*(B43-C43)</f>
        <v>2078.2195793060291</v>
      </c>
      <c r="D44">
        <f t="shared" ref="D44" si="41">ABS((B44-C44)/B44)</f>
        <v>0.26105556996725066</v>
      </c>
      <c r="E44">
        <f>(B44-C44)^2</f>
        <v>185088.88641825668</v>
      </c>
    </row>
    <row r="45" spans="1:5" x14ac:dyDescent="0.45">
      <c r="A45" s="1">
        <v>44</v>
      </c>
      <c r="B45" s="1">
        <v>1637</v>
      </c>
      <c r="C45" s="1">
        <f>C44+alpha*(B44-C44)</f>
        <v>1954.6105280531608</v>
      </c>
      <c r="D45">
        <f t="shared" ref="D45" si="42">ABS((B45-C45)/B45)</f>
        <v>0.19401987052728212</v>
      </c>
      <c r="E45">
        <f>(B45-C45)^2</f>
        <v>100876.44753020765</v>
      </c>
    </row>
    <row r="46" spans="1:5" x14ac:dyDescent="0.45">
      <c r="A46" s="1">
        <v>45</v>
      </c>
      <c r="B46" s="1">
        <v>2211.3000000000002</v>
      </c>
      <c r="C46" s="1">
        <f>C45+alpha*(B45-C45)</f>
        <v>1863.3558805917371</v>
      </c>
      <c r="D46">
        <f t="shared" ref="D46" si="43">ABS((B46-C46)/B46)</f>
        <v>0.1573482202361792</v>
      </c>
      <c r="E46">
        <f>(B46-C46)^2</f>
        <v>121065.11023079163</v>
      </c>
    </row>
    <row r="47" spans="1:5" x14ac:dyDescent="0.45">
      <c r="A47" s="1">
        <v>46</v>
      </c>
      <c r="B47" s="1">
        <v>1754.1000000000001</v>
      </c>
      <c r="C47" s="1">
        <f>C46+alpha*(B46-C46)</f>
        <v>1963.3258600111915</v>
      </c>
      <c r="D47">
        <f t="shared" ref="D47" si="44">ABS((B47-C47)/B47)</f>
        <v>0.11927818255013473</v>
      </c>
      <c r="E47">
        <f>(B47-C47)^2</f>
        <v>43775.460497422639</v>
      </c>
    </row>
    <row r="48" spans="1:5" x14ac:dyDescent="0.45">
      <c r="A48" s="1">
        <v>47</v>
      </c>
      <c r="B48" s="1">
        <v>1600.2</v>
      </c>
      <c r="C48" s="1">
        <f>C47+alpha*(B47-C47)</f>
        <v>1903.2118826434805</v>
      </c>
      <c r="D48">
        <f t="shared" ref="D48" si="45">ABS((B48-C48)/B48)</f>
        <v>0.18935875680757436</v>
      </c>
      <c r="E48">
        <f>(B48-C48)^2</f>
        <v>91816.201023146379</v>
      </c>
    </row>
    <row r="49" spans="1:5" x14ac:dyDescent="0.45">
      <c r="A49" s="1">
        <v>48</v>
      </c>
      <c r="B49" s="1">
        <v>2001.6000000000001</v>
      </c>
      <c r="C49" s="1">
        <f>C48+alpha*(B48-C48)</f>
        <v>1816.15166238962</v>
      </c>
      <c r="D49">
        <f t="shared" ref="D49" si="46">ABS((B49-C49)/B49)</f>
        <v>9.2650048766177107E-2</v>
      </c>
      <c r="E49">
        <f>(B49-C49)^2</f>
        <v>34391.085922453523</v>
      </c>
    </row>
    <row r="50" spans="1:5" x14ac:dyDescent="0.45">
      <c r="A50" s="1">
        <v>49</v>
      </c>
      <c r="B50" s="1">
        <v>1812.6000000000001</v>
      </c>
      <c r="C50" s="1">
        <f>C49+alpha*(B49-C49)</f>
        <v>1869.4339725657794</v>
      </c>
      <c r="D50">
        <f t="shared" ref="D50" si="47">ABS((B50-C50)/B50)</f>
        <v>3.1354944591073193E-2</v>
      </c>
      <c r="E50">
        <f>(B50-C50)^2</f>
        <v>3230.1004376077517</v>
      </c>
    </row>
    <row r="51" spans="1:5" x14ac:dyDescent="0.45">
      <c r="A51" s="1">
        <v>50</v>
      </c>
      <c r="B51" s="1">
        <v>2025</v>
      </c>
      <c r="C51" s="1">
        <f>C50+alpha*(B50-C50)</f>
        <v>1853.1046519915749</v>
      </c>
      <c r="D51">
        <f t="shared" ref="D51" si="48">ABS((B51-C51)/B51)</f>
        <v>8.4886591609098824E-2</v>
      </c>
      <c r="E51">
        <f>(B51-C51)^2</f>
        <v>29548.010666937582</v>
      </c>
    </row>
    <row r="52" spans="1:5" x14ac:dyDescent="0.45">
      <c r="A52" s="1">
        <v>51</v>
      </c>
      <c r="B52" s="1">
        <v>1508.4</v>
      </c>
      <c r="C52" s="1">
        <f>C51+alpha*(B51-C51)</f>
        <v>1902.4929688049963</v>
      </c>
      <c r="D52">
        <f t="shared" ref="D52" si="49">ABS((B52-C52)/B52)</f>
        <v>0.26126555874104757</v>
      </c>
      <c r="E52">
        <f>(B52-C52)^2</f>
        <v>155309.26806153569</v>
      </c>
    </row>
    <row r="53" spans="1:5" x14ac:dyDescent="0.45">
      <c r="A53" s="1">
        <v>52</v>
      </c>
      <c r="B53" s="1">
        <v>1693.8</v>
      </c>
      <c r="C53" s="1">
        <f>C52+alpha*(B52-C52)</f>
        <v>1789.2636777113887</v>
      </c>
      <c r="D53">
        <f t="shared" ref="D53" si="50">ABS((B53-C53)/B53)</f>
        <v>5.6360655160815183E-2</v>
      </c>
      <c r="E53">
        <f>(B53-C53)^2</f>
        <v>9113.3137621839014</v>
      </c>
    </row>
    <row r="54" spans="1:5" x14ac:dyDescent="0.45">
      <c r="A54" s="1">
        <v>53</v>
      </c>
      <c r="B54" s="1">
        <v>2007</v>
      </c>
      <c r="C54" s="1">
        <f>C53+alpha*(B53-C53)</f>
        <v>1761.8354173564119</v>
      </c>
      <c r="D54">
        <f t="shared" ref="D54" si="51">ABS((B54-C54)/B54)</f>
        <v>0.12215474969785158</v>
      </c>
      <c r="E54">
        <f>(B54-C54)^2</f>
        <v>60105.672582804749</v>
      </c>
    </row>
    <row r="55" spans="1:5" x14ac:dyDescent="0.45">
      <c r="A55" s="1">
        <v>54</v>
      </c>
      <c r="B55" s="1">
        <v>1642.5</v>
      </c>
      <c r="C55" s="1">
        <f>C54+alpha*(B54-C54)</f>
        <v>1832.2751716564428</v>
      </c>
      <c r="D55">
        <f t="shared" ref="D55" si="52">ABS((B55-C55)/B55)</f>
        <v>0.11554043936465315</v>
      </c>
      <c r="E55">
        <f>(B55-C55)^2</f>
        <v>36014.615777232335</v>
      </c>
    </row>
    <row r="56" spans="1:5" x14ac:dyDescent="0.45">
      <c r="A56" s="1">
        <v>55</v>
      </c>
      <c r="B56" s="1">
        <v>1917</v>
      </c>
      <c r="C56" s="1">
        <f>C55+alpha*(B55-C55)</f>
        <v>1777.7496919987243</v>
      </c>
      <c r="D56">
        <f t="shared" ref="D56" si="53">ABS((B56-C56)/B56)</f>
        <v>7.263970161777554E-2</v>
      </c>
      <c r="E56">
        <f>(B56-C56)^2</f>
        <v>19390.648278450146</v>
      </c>
    </row>
    <row r="57" spans="1:5" x14ac:dyDescent="0.45">
      <c r="A57" s="1">
        <v>56</v>
      </c>
      <c r="B57" s="1">
        <v>1721.7</v>
      </c>
      <c r="C57" s="1">
        <f>C56+alpha*(B56-C56)</f>
        <v>1817.75856022939</v>
      </c>
      <c r="D57">
        <f t="shared" ref="D57" si="54">ABS((B57-C57)/B57)</f>
        <v>5.5792856031474686E-2</v>
      </c>
      <c r="E57">
        <f>(B57-C57)^2</f>
        <v>9227.2469933433404</v>
      </c>
    </row>
    <row r="58" spans="1:5" x14ac:dyDescent="0.45">
      <c r="A58" s="1">
        <v>57</v>
      </c>
      <c r="B58" s="1">
        <v>1440</v>
      </c>
      <c r="C58" s="1">
        <f>C57+alpha*(B57-C57)</f>
        <v>1790.1593804946499</v>
      </c>
      <c r="D58">
        <f t="shared" ref="D58" si="55">ABS((B58-C58)/B58)</f>
        <v>0.24316623645461799</v>
      </c>
      <c r="E58">
        <f>(B58-C58)^2</f>
        <v>122611.591748397</v>
      </c>
    </row>
    <row r="59" spans="1:5" x14ac:dyDescent="0.45">
      <c r="A59" s="1">
        <v>58</v>
      </c>
      <c r="B59" s="1">
        <v>1775.7</v>
      </c>
      <c r="C59" s="1">
        <f>C58+alpha*(B58-C58)</f>
        <v>1689.5529206955546</v>
      </c>
      <c r="D59">
        <f t="shared" ref="D59" si="56">ABS((B59-C59)/B59)</f>
        <v>4.8514433352731583E-2</v>
      </c>
      <c r="E59">
        <f>(B59-C59)^2</f>
        <v>7421.3192726864172</v>
      </c>
    </row>
    <row r="60" spans="1:5" x14ac:dyDescent="0.45">
      <c r="A60" s="1">
        <v>59</v>
      </c>
      <c r="B60" s="1">
        <v>2242.8000000000002</v>
      </c>
      <c r="C60" s="1">
        <f>C59+alpha*(B59-C59)</f>
        <v>1714.3043714737942</v>
      </c>
      <c r="D60">
        <f t="shared" ref="D60" si="57">ABS((B60-C60)/B60)</f>
        <v>0.23564099720269574</v>
      </c>
      <c r="E60">
        <f>(B60-C60)^2</f>
        <v>279307.62937130954</v>
      </c>
    </row>
    <row r="61" spans="1:5" x14ac:dyDescent="0.45">
      <c r="A61" s="1">
        <v>60</v>
      </c>
      <c r="B61" s="1">
        <v>1638.9</v>
      </c>
      <c r="C61" s="1">
        <f>C60+alpha*(B60-C60)</f>
        <v>1866.1497229540519</v>
      </c>
      <c r="D61">
        <f t="shared" ref="D61" si="58">ABS((B61-C61)/B61)</f>
        <v>0.13865990783699539</v>
      </c>
      <c r="E61">
        <f>(B61-C61)^2</f>
        <v>51642.436582693284</v>
      </c>
    </row>
    <row r="62" spans="1:5" x14ac:dyDescent="0.45">
      <c r="A62" s="1">
        <v>61</v>
      </c>
      <c r="B62" s="1">
        <v>1717.2</v>
      </c>
      <c r="C62" s="1">
        <f>C61+alpha*(B61-C61)</f>
        <v>1800.8571979203502</v>
      </c>
      <c r="D62">
        <f t="shared" ref="D62" si="59">ABS((B62-C62)/B62)</f>
        <v>4.8717212858345092E-2</v>
      </c>
      <c r="E62">
        <f>(B62-C62)^2</f>
        <v>6998.5267638846453</v>
      </c>
    </row>
    <row r="63" spans="1:5" x14ac:dyDescent="0.45">
      <c r="A63" s="1">
        <v>62</v>
      </c>
      <c r="B63" s="1">
        <v>2664.2000000000003</v>
      </c>
      <c r="C63" s="1">
        <f>C62+alpha*(B62-C62)</f>
        <v>1776.8211303799369</v>
      </c>
      <c r="D63">
        <f t="shared" ref="D63" si="60">ABS((B63-C63)/B63)</f>
        <v>0.33307517064036607</v>
      </c>
      <c r="E63">
        <f>(B63-C63)^2</f>
        <v>787441.25824818143</v>
      </c>
    </row>
    <row r="64" spans="1:5" x14ac:dyDescent="0.45">
      <c r="A64" s="1">
        <v>63</v>
      </c>
      <c r="B64" s="1">
        <v>2063.6000000000004</v>
      </c>
      <c r="C64" s="1">
        <f>C63+alpha*(B63-C63)</f>
        <v>2031.7794480662503</v>
      </c>
      <c r="D64">
        <f t="shared" ref="D64" si="61">ABS((B64-C64)/B64)</f>
        <v>1.5419922433490033E-2</v>
      </c>
      <c r="E64">
        <f>(B64-C64)^2</f>
        <v>1012.5475253684833</v>
      </c>
    </row>
    <row r="65" spans="1:5" x14ac:dyDescent="0.45">
      <c r="A65" s="1">
        <v>64</v>
      </c>
      <c r="B65" s="1">
        <v>1993.2000000000003</v>
      </c>
      <c r="C65" s="1">
        <f>C64+alpha*(B64-C64)</f>
        <v>2040.922007875402</v>
      </c>
      <c r="D65">
        <f t="shared" ref="D65" si="62">ABS((B65-C65)/B65)</f>
        <v>2.3942408125326952E-2</v>
      </c>
      <c r="E65">
        <f>(B65-C65)^2</f>
        <v>2277.3900356599006</v>
      </c>
    </row>
    <row r="66" spans="1:5" x14ac:dyDescent="0.45">
      <c r="A66" s="1">
        <v>65</v>
      </c>
      <c r="B66" s="1">
        <v>1870.0000000000002</v>
      </c>
      <c r="C66" s="1">
        <f>C65+alpha*(B65-C65)</f>
        <v>2027.210702297735</v>
      </c>
      <c r="D66">
        <f t="shared" ref="D66" si="63">ABS((B66-C66)/B66)</f>
        <v>8.4069894276863497E-2</v>
      </c>
      <c r="E66">
        <f>(B66-C66)^2</f>
        <v>24715.20491694699</v>
      </c>
    </row>
    <row r="67" spans="1:5" x14ac:dyDescent="0.45">
      <c r="A67" s="1">
        <v>66</v>
      </c>
      <c r="B67" s="1">
        <v>2328</v>
      </c>
      <c r="C67" s="1">
        <f>C66+alpha*(B66-C66)</f>
        <v>1982.0415219708746</v>
      </c>
      <c r="D67">
        <f t="shared" ref="D67" si="64">ABS((B67-C67)/B67)</f>
        <v>0.14860759365512261</v>
      </c>
      <c r="E67">
        <f>(B67-C67)^2</f>
        <v>119687.26852022887</v>
      </c>
    </row>
    <row r="68" spans="1:5" x14ac:dyDescent="0.45">
      <c r="A68" s="1">
        <v>67</v>
      </c>
      <c r="B68" s="1">
        <v>1825.2</v>
      </c>
      <c r="C68" s="1">
        <f>C67+alpha*(B67-C67)</f>
        <v>2081.4409944705844</v>
      </c>
      <c r="D68">
        <f t="shared" ref="D68" si="65">ABS((B68-C68)/B68)</f>
        <v>0.14039063909192656</v>
      </c>
      <c r="E68">
        <f>(B68-C68)^2</f>
        <v>65659.44724727406</v>
      </c>
    </row>
    <row r="69" spans="1:5" x14ac:dyDescent="0.45">
      <c r="A69" s="1">
        <v>68</v>
      </c>
      <c r="B69" s="1">
        <v>2660.4</v>
      </c>
      <c r="C69" s="1">
        <f>C68+alpha*(B68-C68)</f>
        <v>2007.8188077033246</v>
      </c>
      <c r="D69">
        <f t="shared" ref="D69" si="66">ABS((B69-C69)/B69)</f>
        <v>0.24529438892522756</v>
      </c>
      <c r="E69">
        <f>(B69-C69)^2</f>
        <v>425862.2125393505</v>
      </c>
    </row>
    <row r="70" spans="1:5" x14ac:dyDescent="0.45">
      <c r="A70" s="1">
        <v>69</v>
      </c>
      <c r="B70" s="1">
        <v>2955.6</v>
      </c>
      <c r="C70" s="1">
        <f>C69+alpha*(B69-C69)</f>
        <v>2195.3159508490994</v>
      </c>
      <c r="D70">
        <f t="shared" ref="D70" si="67">ABS((B70-C70)/B70)</f>
        <v>0.25723509580149562</v>
      </c>
      <c r="E70">
        <f>(B70-C70)^2</f>
        <v>578031.83539328887</v>
      </c>
    </row>
    <row r="71" spans="1:5" x14ac:dyDescent="0.45">
      <c r="A71" s="1">
        <v>70</v>
      </c>
      <c r="B71" s="1">
        <v>2642.4</v>
      </c>
      <c r="C71" s="1">
        <f>C70+alpha*(B70-C70)</f>
        <v>2413.7578686944566</v>
      </c>
      <c r="D71">
        <f t="shared" ref="D71" si="68">ABS((B71-C71)/B71)</f>
        <v>8.6528205913390638E-2</v>
      </c>
      <c r="E71">
        <f>(B71-C71)^2</f>
        <v>52277.22420794137</v>
      </c>
    </row>
    <row r="72" spans="1:5" x14ac:dyDescent="0.45">
      <c r="A72" s="1">
        <v>71</v>
      </c>
      <c r="B72" s="1">
        <v>2485.1999999999998</v>
      </c>
      <c r="C72" s="1">
        <f>C71+alpha*(B71-C71)</f>
        <v>2479.4504551934269</v>
      </c>
      <c r="D72">
        <f t="shared" ref="D72" si="69">ABS((B72-C72)/B72)</f>
        <v>2.3135139250655421E-3</v>
      </c>
      <c r="E72">
        <f>(B72-C72)^2</f>
        <v>33.057265482789234</v>
      </c>
    </row>
    <row r="73" spans="1:5" x14ac:dyDescent="0.45">
      <c r="A73" s="1">
        <v>72</v>
      </c>
      <c r="B73" s="1">
        <v>2701.2</v>
      </c>
      <c r="C73" s="1">
        <f>C72+alpha*(B72-C72)</f>
        <v>2481.1023925130226</v>
      </c>
      <c r="D73">
        <f t="shared" ref="D73" si="70">ABS((B73-C73)/B73)</f>
        <v>8.148141843883358E-2</v>
      </c>
      <c r="E73">
        <f>(B73-C73)^2</f>
        <v>48442.956821491513</v>
      </c>
    </row>
    <row r="74" spans="1:5" x14ac:dyDescent="0.45">
      <c r="A74" s="1">
        <v>73</v>
      </c>
      <c r="B74" s="1">
        <v>2676</v>
      </c>
      <c r="C74" s="1">
        <f>C73+alpha*(B73-C73)</f>
        <v>2544.3399989659333</v>
      </c>
      <c r="D74">
        <f t="shared" ref="D74" si="71">ABS((B74-C74)/B74)</f>
        <v>4.9200299340084706E-2</v>
      </c>
      <c r="E74">
        <f>(B74-C74)^2</f>
        <v>17334.355872290438</v>
      </c>
    </row>
    <row r="75" spans="1:5" x14ac:dyDescent="0.45">
      <c r="A75" s="1">
        <v>74</v>
      </c>
      <c r="B75" s="1">
        <v>2470.7999999999997</v>
      </c>
      <c r="C75" s="1">
        <f>C74+alpha*(B74-C74)</f>
        <v>2582.16804910262</v>
      </c>
      <c r="D75">
        <f t="shared" ref="D75" si="72">ABS((B75-C75)/B75)</f>
        <v>4.5073680226088826E-2</v>
      </c>
      <c r="E75">
        <f>(B75-C75)^2</f>
        <v>12402.842360923638</v>
      </c>
    </row>
    <row r="76" spans="1:5" x14ac:dyDescent="0.45">
      <c r="A76" s="1">
        <v>75</v>
      </c>
      <c r="B76" s="1">
        <v>2274</v>
      </c>
      <c r="C76" s="1">
        <f>C75+alpha*(B75-C75)</f>
        <v>2550.1702053232566</v>
      </c>
      <c r="D76">
        <f t="shared" ref="D76" si="73">ABS((B76-C76)/B76)</f>
        <v>0.12144688008938284</v>
      </c>
      <c r="E76">
        <f>(B76-C76)^2</f>
        <v>76269.982308289706</v>
      </c>
    </row>
    <row r="77" spans="1:5" x14ac:dyDescent="0.45">
      <c r="A77" s="1">
        <v>76</v>
      </c>
      <c r="B77" s="1">
        <v>2916</v>
      </c>
      <c r="C77" s="1">
        <f>C76+alpha*(B76-C76)</f>
        <v>2470.8220335841115</v>
      </c>
      <c r="D77">
        <f t="shared" ref="D77" si="74">ABS((B77-C77)/B77)</f>
        <v>0.15266734102053789</v>
      </c>
      <c r="E77">
        <f>(B77-C77)^2</f>
        <v>198183.42178218593</v>
      </c>
    </row>
    <row r="78" spans="1:5" x14ac:dyDescent="0.45">
      <c r="A78" s="1">
        <v>77</v>
      </c>
      <c r="B78" s="1">
        <v>2569.1999999999998</v>
      </c>
      <c r="C78" s="1">
        <f>C77+alpha*(B77-C77)</f>
        <v>2598.7288716599442</v>
      </c>
      <c r="D78">
        <f t="shared" ref="D78" si="75">ABS((B78-C78)/B78)</f>
        <v>1.1493411046218413E-2</v>
      </c>
      <c r="E78">
        <f>(B78-C78)^2</f>
        <v>871.95426150946423</v>
      </c>
    </row>
    <row r="79" spans="1:5" x14ac:dyDescent="0.45">
      <c r="A79" s="1">
        <v>78</v>
      </c>
      <c r="B79" s="1">
        <v>2727.6</v>
      </c>
      <c r="C79" s="1">
        <f>C78+alpha*(B78-C78)</f>
        <v>2590.2447487003587</v>
      </c>
      <c r="D79">
        <f t="shared" ref="D79" si="76">ABS((B79-C79)/B79)</f>
        <v>5.0357549237293291E-2</v>
      </c>
      <c r="E79">
        <f>(B79-C79)^2</f>
        <v>18866.465059587576</v>
      </c>
    </row>
    <row r="80" spans="1:5" x14ac:dyDescent="0.45">
      <c r="A80" s="1">
        <v>79</v>
      </c>
      <c r="B80" s="1">
        <v>2744.4</v>
      </c>
      <c r="C80" s="1">
        <f>C79+alpha*(B79-C79)</f>
        <v>2629.7091364558742</v>
      </c>
      <c r="D80">
        <f t="shared" ref="D80" si="77">ABS((B80-C80)/B80)</f>
        <v>4.1790869969438101E-2</v>
      </c>
      <c r="E80">
        <f>(B80-C80)^2</f>
        <v>13153.994180497315</v>
      </c>
    </row>
    <row r="81" spans="1:5" x14ac:dyDescent="0.45">
      <c r="A81" s="1">
        <v>80</v>
      </c>
      <c r="B81" s="1">
        <v>2062.7999999999997</v>
      </c>
      <c r="C81" s="1">
        <f>C80+alpha*(B80-C80)</f>
        <v>2662.6616786273153</v>
      </c>
      <c r="D81">
        <f t="shared" ref="D81" si="78">ABS((B81-C81)/B81)</f>
        <v>0.29079972785888869</v>
      </c>
      <c r="E81">
        <f>(B81-C81)^2</f>
        <v>359834.03348558082</v>
      </c>
    </row>
    <row r="82" spans="1:5" x14ac:dyDescent="0.45">
      <c r="A82" s="1">
        <v>81</v>
      </c>
      <c r="B82" s="1">
        <v>2218.7999999999997</v>
      </c>
      <c r="C82" s="1">
        <f>C81+alpha*(B81-C81)</f>
        <v>2490.3117053934579</v>
      </c>
      <c r="D82">
        <f t="shared" ref="D82" si="79">ABS((B82-C82)/B82)</f>
        <v>0.12236871524853896</v>
      </c>
      <c r="E82">
        <f>(B82-C82)^2</f>
        <v>73718.606165664052</v>
      </c>
    </row>
    <row r="83" spans="1:5" x14ac:dyDescent="0.45">
      <c r="A83" s="1">
        <v>82</v>
      </c>
      <c r="B83" s="1">
        <v>2696.4</v>
      </c>
      <c r="C83" s="1">
        <f>C82+alpha*(B82-C82)</f>
        <v>2412.3019961146051</v>
      </c>
      <c r="D83">
        <f t="shared" ref="D83" si="80">ABS((B83-C83)/B83)</f>
        <v>0.10536196554123831</v>
      </c>
      <c r="E83">
        <f>(B83-C83)^2</f>
        <v>80711.675811665904</v>
      </c>
    </row>
    <row r="84" spans="1:5" x14ac:dyDescent="0.45">
      <c r="A84" s="1">
        <v>83</v>
      </c>
      <c r="B84" s="1">
        <v>2526</v>
      </c>
      <c r="C84" s="1">
        <f>C83+alpha*(B83-C83)</f>
        <v>2493.9279527476187</v>
      </c>
      <c r="D84">
        <f t="shared" ref="D84" si="81">ABS((B84-C84)/B84)</f>
        <v>1.2696772467292658E-2</v>
      </c>
      <c r="E84">
        <f>(B84-C84)^2</f>
        <v>1028.6162149589759</v>
      </c>
    </row>
    <row r="85" spans="1:5" x14ac:dyDescent="0.45">
      <c r="A85" s="1">
        <v>84</v>
      </c>
      <c r="B85" s="1">
        <v>2016</v>
      </c>
      <c r="C85" s="1">
        <f>C84+alpha*(B84-C84)</f>
        <v>2503.1427712340269</v>
      </c>
      <c r="D85">
        <f t="shared" ref="D85" si="82">ABS((B85-C85)/B85)</f>
        <v>0.24163827938195778</v>
      </c>
      <c r="E85">
        <f>(B85-C85)^2</f>
        <v>237308.07956556746</v>
      </c>
    </row>
    <row r="86" spans="1:5" x14ac:dyDescent="0.45">
      <c r="A86" s="1">
        <v>85</v>
      </c>
      <c r="B86" s="1">
        <v>2952</v>
      </c>
      <c r="C86" s="1">
        <f>C85+alpha*(B85-C85)</f>
        <v>2363.1787652395483</v>
      </c>
      <c r="D86">
        <f t="shared" ref="D86" si="83">ABS((B86-C86)/B86)</f>
        <v>0.19946518792698228</v>
      </c>
      <c r="E86">
        <f>(B86-C86)^2</f>
        <v>346710.44650482299</v>
      </c>
    </row>
    <row r="87" spans="1:5" x14ac:dyDescent="0.45">
      <c r="A87" s="1">
        <v>86</v>
      </c>
      <c r="B87" s="1">
        <v>2457.6</v>
      </c>
      <c r="C87" s="1">
        <f>C86+alpha*(B86-C86)</f>
        <v>2532.356640183516</v>
      </c>
      <c r="D87">
        <f t="shared" ref="D87" si="84">ABS((B87-C87)/B87)</f>
        <v>3.0418554762172888E-2</v>
      </c>
      <c r="E87">
        <f>(B87-C87)^2</f>
        <v>5588.5552515276913</v>
      </c>
    </row>
    <row r="88" spans="1:5" x14ac:dyDescent="0.45">
      <c r="A88" s="1">
        <v>87</v>
      </c>
      <c r="B88" s="1">
        <v>2907.6</v>
      </c>
      <c r="C88" s="1">
        <f>C87+alpha*(B87-C87)</f>
        <v>2510.8778469987842</v>
      </c>
      <c r="D88">
        <f t="shared" ref="D88" si="85">ABS((B88-C88)/B88)</f>
        <v>0.1364431672173668</v>
      </c>
      <c r="E88">
        <f>(B88-C88)^2</f>
        <v>157388.46668191999</v>
      </c>
    </row>
    <row r="89" spans="1:5" x14ac:dyDescent="0.45">
      <c r="A89" s="1">
        <v>88</v>
      </c>
      <c r="B89" s="1">
        <v>1694.0000000000002</v>
      </c>
      <c r="C89" s="1">
        <f>C88+alpha*(B88-C88)</f>
        <v>2624.8625452837332</v>
      </c>
      <c r="D89">
        <f t="shared" ref="D89" si="86">ABS((B89-C89)/B89)</f>
        <v>0.54950563476017289</v>
      </c>
      <c r="E89">
        <f>(B89-C89)^2</f>
        <v>866505.07821210986</v>
      </c>
    </row>
    <row r="90" spans="1:5" x14ac:dyDescent="0.45">
      <c r="A90" s="1">
        <v>89</v>
      </c>
      <c r="B90" s="1">
        <v>2560.8000000000002</v>
      </c>
      <c r="C90" s="1">
        <f>C89+alpha*(B89-C89)</f>
        <v>2357.4106634912864</v>
      </c>
      <c r="D90">
        <f t="shared" ref="D90" si="87">ABS((B90-C90)/B90)</f>
        <v>7.9424139530113153E-2</v>
      </c>
      <c r="E90">
        <f>(B90-C90)^2</f>
        <v>41367.222205454804</v>
      </c>
    </row>
    <row r="91" spans="1:5" x14ac:dyDescent="0.45">
      <c r="A91" s="1">
        <v>90</v>
      </c>
      <c r="B91" s="1">
        <v>1687.4</v>
      </c>
      <c r="C91" s="1">
        <f>C90+alpha*(B90-C90)</f>
        <v>2415.8477131517088</v>
      </c>
      <c r="D91">
        <f t="shared" ref="D91" si="88">ABS((B91-C91)/B91)</f>
        <v>0.43169830102625856</v>
      </c>
      <c r="E91">
        <f>(B91-C91)^2</f>
        <v>530636.07079595409</v>
      </c>
    </row>
    <row r="92" spans="1:5" x14ac:dyDescent="0.45">
      <c r="A92" s="1">
        <v>91</v>
      </c>
      <c r="B92" s="1">
        <v>1772.1000000000001</v>
      </c>
      <c r="C92" s="1">
        <f>C91+alpha*(B91-C91)</f>
        <v>2206.5528901330804</v>
      </c>
      <c r="D92">
        <f t="shared" ref="D92" si="89">ABS((B92-C92)/B92)</f>
        <v>0.24516273919817178</v>
      </c>
      <c r="E92">
        <f>(B92-C92)^2</f>
        <v>188749.31374498628</v>
      </c>
    </row>
    <row r="93" spans="1:5" x14ac:dyDescent="0.45">
      <c r="A93" s="1">
        <v>92</v>
      </c>
      <c r="B93" s="1">
        <v>1855</v>
      </c>
      <c r="C93" s="1">
        <f>C92+alpha*(B92-C92)</f>
        <v>2081.7275401338038</v>
      </c>
      <c r="D93">
        <f t="shared" ref="D93" si="90">ABS((B93-C93)/B93)</f>
        <v>0.1222250890209185</v>
      </c>
      <c r="E93">
        <f>(B93-C93)^2</f>
        <v>51405.377455125621</v>
      </c>
    </row>
    <row r="94" spans="1:5" x14ac:dyDescent="0.45">
      <c r="A94" s="1">
        <v>93</v>
      </c>
      <c r="B94" s="1">
        <v>2068</v>
      </c>
      <c r="C94" s="1">
        <f>C93+alpha*(B93-C93)</f>
        <v>2016.5850466795471</v>
      </c>
      <c r="D94">
        <f t="shared" ref="D94" si="91">ABS((B94-C94)/B94)</f>
        <v>2.4862163114338937E-2</v>
      </c>
      <c r="E94">
        <f>(B94-C94)^2</f>
        <v>2643.497424944353</v>
      </c>
    </row>
    <row r="95" spans="1:5" x14ac:dyDescent="0.45">
      <c r="A95" s="1">
        <v>94</v>
      </c>
      <c r="B95" s="1">
        <v>2169.9</v>
      </c>
      <c r="C95" s="1">
        <f>C94+alpha*(B94-C94)</f>
        <v>2031.3573952797742</v>
      </c>
      <c r="D95">
        <f t="shared" ref="D95" si="92">ABS((B95-C95)/B95)</f>
        <v>6.3847460583541113E-2</v>
      </c>
      <c r="E95">
        <f>(B95-C95)^2</f>
        <v>19194.053322664753</v>
      </c>
    </row>
    <row r="96" spans="1:5" x14ac:dyDescent="0.45">
      <c r="A96" s="1">
        <v>95</v>
      </c>
      <c r="B96" s="1">
        <v>1863.9</v>
      </c>
      <c r="C96" s="1">
        <f>C95+alpha*(B95-C95)</f>
        <v>2071.1629288986583</v>
      </c>
      <c r="D96">
        <f t="shared" ref="D96" si="93">ABS((B96-C96)/B96)</f>
        <v>0.11119852400807885</v>
      </c>
      <c r="E96">
        <f>(B96-C96)^2</f>
        <v>42957.921695650235</v>
      </c>
    </row>
    <row r="97" spans="1:5" x14ac:dyDescent="0.45">
      <c r="A97" s="1">
        <v>96</v>
      </c>
      <c r="B97" s="1">
        <v>1507.5</v>
      </c>
      <c r="C97" s="1">
        <f>C96+alpha*(B96-C96)</f>
        <v>2011.6129334233715</v>
      </c>
      <c r="D97">
        <f t="shared" ref="D97" si="94">ABS((B97-C97)/B97)</f>
        <v>0.3344032725859844</v>
      </c>
      <c r="E97">
        <f>(B97-C97)^2</f>
        <v>254129.84964471657</v>
      </c>
    </row>
    <row r="98" spans="1:5" x14ac:dyDescent="0.45">
      <c r="A98" s="1">
        <v>97</v>
      </c>
      <c r="B98" s="1">
        <v>1621.8</v>
      </c>
      <c r="C98" s="1">
        <f>C97+alpha*(B97-C97)</f>
        <v>1866.7731250509169</v>
      </c>
      <c r="D98">
        <f t="shared" ref="D98" si="95">ABS((B98-C98)/B98)</f>
        <v>0.1510501449321229</v>
      </c>
      <c r="E98">
        <f>(B98-C98)^2</f>
        <v>60011.831997212175</v>
      </c>
    </row>
    <row r="99" spans="1:5" x14ac:dyDescent="0.45">
      <c r="A99" s="1">
        <v>98</v>
      </c>
      <c r="B99" s="1">
        <v>1635.3</v>
      </c>
      <c r="C99" s="1">
        <f>C98+alpha*(B98-C98)</f>
        <v>1796.3883796173432</v>
      </c>
      <c r="D99">
        <f t="shared" ref="D99" si="96">ABS((B99-C99)/B99)</f>
        <v>9.8506928158345997E-2</v>
      </c>
      <c r="E99">
        <f>(B99-C99)^2</f>
        <v>25949.466047741276</v>
      </c>
    </row>
    <row r="100" spans="1:5" x14ac:dyDescent="0.45">
      <c r="A100" s="1">
        <v>99</v>
      </c>
      <c r="B100" s="1">
        <v>1503</v>
      </c>
      <c r="C100" s="1">
        <f>C99+alpha*(B99-C99)</f>
        <v>1750.1050798091826</v>
      </c>
      <c r="D100">
        <f t="shared" ref="D100" si="97">ABS((B100-C100)/B100)</f>
        <v>0.16440790406465908</v>
      </c>
      <c r="E100">
        <f>(B100-C100)^2</f>
        <v>61060.920467502503</v>
      </c>
    </row>
    <row r="101" spans="1:5" x14ac:dyDescent="0.45">
      <c r="A101" s="1">
        <v>100</v>
      </c>
      <c r="B101" s="1">
        <v>1799.1000000000001</v>
      </c>
      <c r="C101" s="1">
        <f>C100+alpha*(B100-C100)</f>
        <v>1679.1077892529336</v>
      </c>
      <c r="D101">
        <f t="shared" ref="D101" si="98">ABS((B101-C101)/B101)</f>
        <v>6.6695687147499613E-2</v>
      </c>
      <c r="E101">
        <f>(B101-C101)^2</f>
        <v>14398.130639968436</v>
      </c>
    </row>
    <row r="102" spans="1:5" x14ac:dyDescent="0.45">
      <c r="A102" s="1">
        <v>101</v>
      </c>
      <c r="B102" s="1">
        <v>2171.7000000000003</v>
      </c>
      <c r="C102" s="1">
        <f>C101+alpha*(B101-C101)</f>
        <v>1713.5834943152281</v>
      </c>
      <c r="D102">
        <f t="shared" ref="D102" si="99">ABS((B102-C102)/B102)</f>
        <v>0.2109483380231027</v>
      </c>
      <c r="E102">
        <f>(B102-C102)^2</f>
        <v>209870.7327808259</v>
      </c>
    </row>
    <row r="103" spans="1:5" x14ac:dyDescent="0.45">
      <c r="A103" s="1">
        <v>102</v>
      </c>
      <c r="B103" s="1">
        <v>1475.1000000000001</v>
      </c>
      <c r="C103" s="1">
        <f>C102+alpha*(B102-C102)</f>
        <v>1845.2077842239239</v>
      </c>
      <c r="D103">
        <f t="shared" ref="D103" si="100">ABS((B103-C103)/B103)</f>
        <v>0.25090352126901483</v>
      </c>
      <c r="E103">
        <f>(B103-C103)^2</f>
        <v>136979.77194314252</v>
      </c>
    </row>
    <row r="104" spans="1:5" x14ac:dyDescent="0.45">
      <c r="A104" s="1">
        <v>103</v>
      </c>
      <c r="B104" s="1">
        <v>1984.5</v>
      </c>
      <c r="C104" s="1">
        <f>C103+alpha*(B103-C103)</f>
        <v>1738.8698250287243</v>
      </c>
      <c r="D104">
        <f t="shared" ref="D104" si="101">ABS((B104-C104)/B104)</f>
        <v>0.12377433860986428</v>
      </c>
      <c r="E104">
        <f>(B104-C104)^2</f>
        <v>60334.182856419495</v>
      </c>
    </row>
    <row r="105" spans="1:5" x14ac:dyDescent="0.45">
      <c r="A105" s="1">
        <v>104</v>
      </c>
      <c r="B105" s="1">
        <v>1476</v>
      </c>
      <c r="C105" s="1">
        <f>C104+alpha*(B104-C104)</f>
        <v>1809.4433515433739</v>
      </c>
      <c r="D105">
        <f t="shared" ref="D105" si="102">ABS((B105-C105)/B105)</f>
        <v>0.2259101297719335</v>
      </c>
      <c r="E105">
        <f>(B105-C105)^2</f>
        <v>111184.46868847801</v>
      </c>
    </row>
    <row r="106" spans="1:5" x14ac:dyDescent="0.45">
      <c r="A106" s="1">
        <v>105</v>
      </c>
      <c r="C106" s="1">
        <f>C105+alpha*(B105-C105)</f>
        <v>1713.6396775280302</v>
      </c>
    </row>
    <row r="107" spans="1:5" x14ac:dyDescent="0.45">
      <c r="C107" s="1"/>
    </row>
    <row r="108" spans="1:5" x14ac:dyDescent="0.45">
      <c r="C108" s="1"/>
    </row>
    <row r="109" spans="1:5" x14ac:dyDescent="0.45">
      <c r="C109" s="1"/>
    </row>
    <row r="110" spans="1:5" x14ac:dyDescent="0.45">
      <c r="C110" s="1"/>
    </row>
    <row r="111" spans="1:5" x14ac:dyDescent="0.45">
      <c r="C111" s="1"/>
    </row>
    <row r="112" spans="1:5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0"/>
  <sheetViews>
    <sheetView topLeftCell="A86" workbookViewId="0">
      <selection activeCell="C106" sqref="C106"/>
    </sheetView>
  </sheetViews>
  <sheetFormatPr defaultRowHeight="14.35" x14ac:dyDescent="0.45"/>
  <cols>
    <col min="1" max="1" width="9.06640625" style="1"/>
    <col min="2" max="2" width="13.33203125" customWidth="1"/>
    <col min="3" max="3" width="8.796875"/>
    <col min="12" max="12" width="11.1328125" style="2" bestFit="1" customWidth="1"/>
  </cols>
  <sheetData>
    <row r="1" spans="1:12" x14ac:dyDescent="0.45">
      <c r="A1" s="1" t="s">
        <v>0</v>
      </c>
      <c r="B1" t="s">
        <v>1</v>
      </c>
      <c r="C1" t="s">
        <v>6</v>
      </c>
      <c r="D1" t="s">
        <v>9</v>
      </c>
      <c r="E1" t="s">
        <v>10</v>
      </c>
      <c r="F1" t="s">
        <v>11</v>
      </c>
      <c r="G1" t="s">
        <v>13</v>
      </c>
      <c r="H1" t="s">
        <v>4</v>
      </c>
      <c r="I1" t="s">
        <v>7</v>
      </c>
      <c r="J1" t="s">
        <v>5</v>
      </c>
      <c r="K1" t="s">
        <v>8</v>
      </c>
      <c r="L1" s="2" t="s">
        <v>12</v>
      </c>
    </row>
    <row r="2" spans="1:12" x14ac:dyDescent="0.45">
      <c r="A2" s="1">
        <v>1</v>
      </c>
      <c r="B2" s="1">
        <v>1524.6000000000001</v>
      </c>
      <c r="C2" s="1">
        <f>B2</f>
        <v>1524.6000000000001</v>
      </c>
      <c r="D2" s="1">
        <f>B2-C2</f>
        <v>0</v>
      </c>
      <c r="E2">
        <v>0</v>
      </c>
      <c r="F2" s="1">
        <v>0</v>
      </c>
      <c r="G2">
        <f>IF(F2=0,0,ABS(E2/F2))</f>
        <v>0</v>
      </c>
      <c r="H2">
        <f>ABS((B2-C2)/B2)</f>
        <v>0</v>
      </c>
      <c r="I2">
        <f>(B2-C2)^2</f>
        <v>0</v>
      </c>
      <c r="J2">
        <f>AVERAGE(H:H)</f>
        <v>0.14864782714334684</v>
      </c>
      <c r="K2">
        <f>SUM(I:I)</f>
        <v>14686256.535326315</v>
      </c>
      <c r="L2" s="2">
        <v>0.14752637497765594</v>
      </c>
    </row>
    <row r="3" spans="1:12" x14ac:dyDescent="0.45">
      <c r="A3" s="1">
        <v>2</v>
      </c>
      <c r="B3" s="1">
        <v>1960.2</v>
      </c>
      <c r="C3" s="1">
        <f>C2+G2*(B2-C2)</f>
        <v>1524.6000000000001</v>
      </c>
      <c r="D3" s="1">
        <f>B3-C3</f>
        <v>435.59999999999991</v>
      </c>
      <c r="E3">
        <f>gamma*(D2-E2)+E2</f>
        <v>0</v>
      </c>
      <c r="F3">
        <f>gamma*(ABS(D2)-F2)+F2</f>
        <v>0</v>
      </c>
      <c r="G3">
        <f t="shared" ref="G3:G66" si="0">IF(F3=0,0,ABS(E3/F3))</f>
        <v>0</v>
      </c>
      <c r="H3">
        <f>ABS((B3-C3)/B3)</f>
        <v>0.22222222222222218</v>
      </c>
      <c r="I3">
        <f>(B3-C3)^2</f>
        <v>189747.35999999993</v>
      </c>
    </row>
    <row r="4" spans="1:12" x14ac:dyDescent="0.45">
      <c r="A4" s="1">
        <v>3</v>
      </c>
      <c r="B4" s="1">
        <v>2061.9</v>
      </c>
      <c r="C4" s="1">
        <f>C3+G3*(B3-C3)</f>
        <v>1524.6000000000001</v>
      </c>
      <c r="D4" s="1">
        <f>B4-C4</f>
        <v>537.29999999999995</v>
      </c>
      <c r="E4">
        <f>gamma*(D3-E3)+E3</f>
        <v>64.26248894026692</v>
      </c>
      <c r="F4">
        <f>gamma*(ABS(D3)-F3)+F3</f>
        <v>64.26248894026692</v>
      </c>
      <c r="G4">
        <f t="shared" ref="G4" si="1">IF(F4=0,0,ABS(E4/F4))</f>
        <v>1</v>
      </c>
      <c r="H4">
        <f>ABS((B4-C4)/B4)</f>
        <v>0.26058489742470531</v>
      </c>
      <c r="I4">
        <f>(B4-C4)^2</f>
        <v>288691.28999999998</v>
      </c>
    </row>
    <row r="5" spans="1:12" x14ac:dyDescent="0.45">
      <c r="A5" s="1">
        <v>4</v>
      </c>
      <c r="B5" s="1">
        <v>2214</v>
      </c>
      <c r="C5" s="1">
        <f>C4+G4*(B4-C4)</f>
        <v>2061.9</v>
      </c>
      <c r="D5" s="1">
        <f>B5-C5</f>
        <v>152.09999999999991</v>
      </c>
      <c r="E5">
        <f>gamma*(D4-E4)+E4</f>
        <v>134.04799817536218</v>
      </c>
      <c r="F5">
        <f>gamma*(ABS(D4)-F4)+F4</f>
        <v>134.04799817536218</v>
      </c>
      <c r="G5">
        <f t="shared" ref="G5" si="2">IF(F5=0,0,ABS(E5/F5))</f>
        <v>1</v>
      </c>
      <c r="H5">
        <f>ABS((B5-C5)/B5)</f>
        <v>6.8699186991869873E-2</v>
      </c>
      <c r="I5">
        <f>(B5-C5)^2</f>
        <v>23134.409999999971</v>
      </c>
    </row>
    <row r="6" spans="1:12" x14ac:dyDescent="0.45">
      <c r="A6" s="1">
        <v>5</v>
      </c>
      <c r="B6" s="1">
        <v>1621.8</v>
      </c>
      <c r="C6" s="1">
        <f>C5+G5*(B5-C5)</f>
        <v>2214</v>
      </c>
      <c r="D6" s="1">
        <f>B6-C6</f>
        <v>-592.20000000000005</v>
      </c>
      <c r="E6">
        <f>gamma*(D5-E5)+E5</f>
        <v>136.71114456564101</v>
      </c>
      <c r="F6">
        <f>gamma*(ABS(D5)-F5)+F5</f>
        <v>136.71114456564101</v>
      </c>
      <c r="G6">
        <f t="shared" ref="G6" si="3">IF(F6=0,0,ABS(E6/F6))</f>
        <v>1</v>
      </c>
      <c r="H6">
        <f>ABS((B6-C6)/B6)</f>
        <v>0.36514983351831304</v>
      </c>
      <c r="I6">
        <f>(B6-C6)^2</f>
        <v>350700.84</v>
      </c>
    </row>
    <row r="7" spans="1:12" x14ac:dyDescent="0.45">
      <c r="A7" s="1">
        <v>6</v>
      </c>
      <c r="B7" s="1">
        <v>1926.9</v>
      </c>
      <c r="C7" s="1">
        <f>C6+G6*(B6-C6)</f>
        <v>1621.8</v>
      </c>
      <c r="D7" s="1">
        <f>B7-C7</f>
        <v>305.10000000000014</v>
      </c>
      <c r="E7">
        <f>gamma*(D6-E6)+E6</f>
        <v>29.177525727057869</v>
      </c>
      <c r="F7">
        <f>gamma*(ABS(D6)-F6)+F6</f>
        <v>203.90776425059357</v>
      </c>
      <c r="G7">
        <f t="shared" ref="G7" si="4">IF(F7=0,0,ABS(E7/F7))</f>
        <v>0.1430917838479166</v>
      </c>
      <c r="H7">
        <f>ABS((B7-C7)/B7)</f>
        <v>0.15833722559551619</v>
      </c>
      <c r="I7">
        <f>(B7-C7)^2</f>
        <v>93086.010000000082</v>
      </c>
    </row>
    <row r="8" spans="1:12" x14ac:dyDescent="0.45">
      <c r="A8" s="1">
        <v>7</v>
      </c>
      <c r="B8" s="1">
        <v>1952.1000000000001</v>
      </c>
      <c r="C8" s="1">
        <f>C7+G7*(B7-C7)</f>
        <v>1665.4573032519993</v>
      </c>
      <c r="D8" s="1">
        <f>B8-C8</f>
        <v>286.64269674800084</v>
      </c>
      <c r="E8">
        <f>gamma*(D7-E7)+E7</f>
        <v>69.883368131410577</v>
      </c>
      <c r="F8">
        <f>gamma*(ABS(D7)-F7)+F7</f>
        <v>218.83628796658789</v>
      </c>
      <c r="G8">
        <f t="shared" ref="G8" si="5">IF(F8=0,0,ABS(E8/F8))</f>
        <v>0.31934085877969393</v>
      </c>
      <c r="H8">
        <f>ABS((B8-C8)/B8)</f>
        <v>0.14683812138107721</v>
      </c>
      <c r="I8">
        <f>(B8-C8)^2</f>
        <v>82164.03559896638</v>
      </c>
    </row>
    <row r="9" spans="1:12" x14ac:dyDescent="0.45">
      <c r="A9" s="1">
        <v>8</v>
      </c>
      <c r="B9" s="1">
        <v>2214.9</v>
      </c>
      <c r="C9" s="1">
        <f>C8+G8*(B8-C8)</f>
        <v>1756.9940281944332</v>
      </c>
      <c r="D9" s="1">
        <f>B9-C9</f>
        <v>457.90597180556688</v>
      </c>
      <c r="E9">
        <f>gamma*(D8-E8)+E8</f>
        <v>101.86108612480662</v>
      </c>
      <c r="F9">
        <f>gamma*(ABS(D8)-F8)+F8</f>
        <v>228.83952165436284</v>
      </c>
      <c r="G9">
        <f t="shared" ref="G9" si="6">IF(F9=0,0,ABS(E9/F9))</f>
        <v>0.44512016713029445</v>
      </c>
      <c r="H9">
        <f>ABS((B9-C9)/B9)</f>
        <v>0.20673889196151829</v>
      </c>
      <c r="I9">
        <f>(B9-C9)^2</f>
        <v>209677.8790152006</v>
      </c>
    </row>
    <row r="10" spans="1:12" x14ac:dyDescent="0.45">
      <c r="A10" s="1">
        <v>9</v>
      </c>
      <c r="B10" s="1">
        <v>2009.7</v>
      </c>
      <c r="C10" s="1">
        <f>C9+G9*(B9-C9)</f>
        <v>1960.8172108944871</v>
      </c>
      <c r="D10" s="1">
        <f>B10-C10</f>
        <v>48.882789105512984</v>
      </c>
      <c r="E10">
        <f>gamma*(D9-E9)+E9</f>
        <v>154.3870974386231</v>
      </c>
      <c r="F10">
        <f>gamma*(ABS(D9)-F9)+F9</f>
        <v>262.63286467416992</v>
      </c>
      <c r="G10">
        <f t="shared" ref="G10" si="7">IF(F10=0,0,ABS(E10/F10))</f>
        <v>0.58784378577357521</v>
      </c>
      <c r="H10">
        <f>ABS((B10-C10)/B10)</f>
        <v>2.4323425936962226E-2</v>
      </c>
      <c r="I10">
        <f>(B10-C10)^2</f>
        <v>2389.5270707340587</v>
      </c>
    </row>
    <row r="11" spans="1:12" x14ac:dyDescent="0.45">
      <c r="A11" s="1">
        <v>10</v>
      </c>
      <c r="B11" s="1">
        <v>2068.2000000000003</v>
      </c>
      <c r="C11" s="1">
        <f>C10+G10*(B10-C10)</f>
        <v>1989.5526547014431</v>
      </c>
      <c r="D11" s="1">
        <f>B11-C11</f>
        <v>78.647345298557184</v>
      </c>
      <c r="E11">
        <f>gamma*(D10-E10)+E10</f>
        <v>138.82242928571446</v>
      </c>
      <c r="F11">
        <f>gamma*(ABS(D10)-F10)+F10</f>
        <v>231.09909087432595</v>
      </c>
      <c r="G11">
        <f t="shared" ref="G11" si="8">IF(F11=0,0,ABS(E11/F11))</f>
        <v>0.6007052159335734</v>
      </c>
      <c r="H11">
        <f>ABS((B11-C11)/B11)</f>
        <v>3.8026953533776796E-2</v>
      </c>
      <c r="I11">
        <f>(B11-C11)^2</f>
        <v>6185.4049225104845</v>
      </c>
    </row>
    <row r="12" spans="1:12" x14ac:dyDescent="0.45">
      <c r="A12" s="1">
        <v>11</v>
      </c>
      <c r="B12" s="1">
        <v>1865.7</v>
      </c>
      <c r="C12" s="1">
        <f>C11+G11*(B11-C11)</f>
        <v>2036.7965252416152</v>
      </c>
      <c r="D12" s="1">
        <f>B12-C12</f>
        <v>-171.09652524161515</v>
      </c>
      <c r="E12">
        <f>gamma*(D11-E11)+E11</f>
        <v>129.94501728111317</v>
      </c>
      <c r="F12">
        <f>gamma*(ABS(D11)-F11)+F11</f>
        <v>208.60843749051688</v>
      </c>
      <c r="G12">
        <f t="shared" ref="G12" si="9">IF(F12=0,0,ABS(E12/F12))</f>
        <v>0.62291352566705427</v>
      </c>
      <c r="H12">
        <f>ABS((B12-C12)/B12)</f>
        <v>9.1706343593083106E-2</v>
      </c>
      <c r="I12">
        <f>(B12-C12)^2</f>
        <v>29274.020949754653</v>
      </c>
    </row>
    <row r="13" spans="1:12" x14ac:dyDescent="0.45">
      <c r="A13" s="1">
        <v>12</v>
      </c>
      <c r="B13" s="1">
        <v>1445.4</v>
      </c>
      <c r="C13" s="1">
        <f>C12+G12*(B12-C12)</f>
        <v>1930.2181854739786</v>
      </c>
      <c r="D13" s="1">
        <f>B13-C13</f>
        <v>-484.81818547397847</v>
      </c>
      <c r="E13">
        <f>gamma*(D12-E12)+E12</f>
        <v>85.533449795053201</v>
      </c>
      <c r="F13">
        <f>gamma*(ABS(D12)-F12)+F12</f>
        <v>203.07444105795648</v>
      </c>
      <c r="G13">
        <f t="shared" ref="G13" si="10">IF(F13=0,0,ABS(E13/F13))</f>
        <v>0.42119259001501996</v>
      </c>
      <c r="H13">
        <f>ABS((B13-C13)/B13)</f>
        <v>0.33542146497438663</v>
      </c>
      <c r="I13">
        <f>(B13-C13)^2</f>
        <v>235048.67296628098</v>
      </c>
    </row>
    <row r="14" spans="1:12" x14ac:dyDescent="0.45">
      <c r="A14" s="1">
        <v>13</v>
      </c>
      <c r="B14" s="1">
        <v>1723.5</v>
      </c>
      <c r="C14" s="1">
        <f>C13+G13*(B13-C13)</f>
        <v>1726.0163582478112</v>
      </c>
      <c r="D14" s="1">
        <f>B14-C14</f>
        <v>-2.5163582478112403</v>
      </c>
      <c r="E14">
        <f>gamma*(D13-E13)+E13</f>
        <v>1.3915405812347785</v>
      </c>
      <c r="F14">
        <f>gamma*(ABS(D13)-F13)+F13</f>
        <v>244.63907434428339</v>
      </c>
      <c r="G14">
        <f t="shared" ref="G14" si="11">IF(F14=0,0,ABS(E14/F14))</f>
        <v>5.688137044192897E-3</v>
      </c>
      <c r="H14">
        <f>ABS((B14-C14)/B14)</f>
        <v>1.4600279940883321E-3</v>
      </c>
      <c r="I14">
        <f>(B14-C14)^2</f>
        <v>6.3320588313276556</v>
      </c>
    </row>
    <row r="15" spans="1:12" x14ac:dyDescent="0.45">
      <c r="A15" s="1">
        <v>14</v>
      </c>
      <c r="B15" s="1">
        <v>2421.1000000000004</v>
      </c>
      <c r="C15" s="1">
        <f>C14+G14*(B14-C14)</f>
        <v>1726.0020448572454</v>
      </c>
      <c r="D15" s="1">
        <f>B15-C15</f>
        <v>695.09795514275493</v>
      </c>
      <c r="E15">
        <f>gamma*(D14-E14)+E14</f>
        <v>0.81502243320619294</v>
      </c>
      <c r="F15">
        <f>gamma*(ABS(D14)-F14)+F14</f>
        <v>208.91958773882669</v>
      </c>
      <c r="G15">
        <f t="shared" ref="G15" si="12">IF(F15=0,0,ABS(E15/F15))</f>
        <v>3.9011298175883054E-3</v>
      </c>
      <c r="H15">
        <f>ABS((B15-C15)/B15)</f>
        <v>0.28710005994909538</v>
      </c>
      <c r="I15">
        <f>(B15-C15)^2</f>
        <v>483161.16724363936</v>
      </c>
    </row>
    <row r="16" spans="1:12" x14ac:dyDescent="0.45">
      <c r="A16" s="1">
        <v>15</v>
      </c>
      <c r="B16" s="1">
        <v>1797.4</v>
      </c>
      <c r="C16" s="1">
        <f>C15+G15*(B15-C15)</f>
        <v>1728.7137122161976</v>
      </c>
      <c r="D16" s="1">
        <f>B16-C16</f>
        <v>68.686287783802527</v>
      </c>
      <c r="E16">
        <f>gamma*(D15-E15)+E15</f>
        <v>103.24006670470175</v>
      </c>
      <c r="F16">
        <f>gamma*(ABS(D15)-F15)+F15</f>
        <v>280.64371987448317</v>
      </c>
      <c r="G16">
        <f t="shared" ref="G16" si="13">IF(F16=0,0,ABS(E16/F16))</f>
        <v>0.3678687937534304</v>
      </c>
      <c r="H16">
        <f>ABS((B16-C16)/B16)</f>
        <v>3.8214247125738579E-2</v>
      </c>
      <c r="I16">
        <f>(B16-C16)^2</f>
        <v>4717.8061295193402</v>
      </c>
    </row>
    <row r="17" spans="1:9" x14ac:dyDescent="0.45">
      <c r="A17" s="1">
        <v>16</v>
      </c>
      <c r="B17" s="1">
        <v>2289.1000000000004</v>
      </c>
      <c r="C17" s="1">
        <f>C16+G16*(B16-C16)</f>
        <v>1753.9812540506259</v>
      </c>
      <c r="D17" s="1">
        <f>B17-C17</f>
        <v>535.11874594937444</v>
      </c>
      <c r="E17">
        <f>gamma*(D16-E16)+E16</f>
        <v>98.142472958722138</v>
      </c>
      <c r="F17">
        <f>gamma*(ABS(D16)-F16)+F16</f>
        <v>249.37440826857238</v>
      </c>
      <c r="G17">
        <f t="shared" ref="G17" si="14">IF(F17=0,0,ABS(E17/F17))</f>
        <v>0.39355471012496285</v>
      </c>
      <c r="H17">
        <f>ABS((B17-C17)/B17)</f>
        <v>0.23376818223291876</v>
      </c>
      <c r="I17">
        <f>(B17-C17)^2</f>
        <v>286352.07226643112</v>
      </c>
    </row>
    <row r="18" spans="1:9" x14ac:dyDescent="0.45">
      <c r="A18" s="1">
        <v>17</v>
      </c>
      <c r="B18" s="1">
        <v>2072.4</v>
      </c>
      <c r="C18" s="1">
        <f>C17+G17*(B17-C17)</f>
        <v>1964.5797569951656</v>
      </c>
      <c r="D18" s="1">
        <f>B18-C18</f>
        <v>107.82024300483454</v>
      </c>
      <c r="E18">
        <f>gamma*(D17-E17)+E17</f>
        <v>162.60799846427966</v>
      </c>
      <c r="F18">
        <f>gamma*(ABS(D17)-F17)+F17</f>
        <v>291.52923457701235</v>
      </c>
      <c r="G18">
        <f t="shared" ref="G18" si="15">IF(F18=0,0,ABS(E18/F18))</f>
        <v>0.55777595924543211</v>
      </c>
      <c r="H18">
        <f>ABS((B18-C18)/B18)</f>
        <v>5.2026753042286496E-2</v>
      </c>
      <c r="I18">
        <f>(B18-C18)^2</f>
        <v>11625.20480162157</v>
      </c>
    </row>
    <row r="19" spans="1:9" x14ac:dyDescent="0.45">
      <c r="A19" s="1">
        <v>18</v>
      </c>
      <c r="B19" s="1">
        <v>2653.2000000000003</v>
      </c>
      <c r="C19" s="1">
        <f>C18+G18*(B18-C18)</f>
        <v>2024.7192964632627</v>
      </c>
      <c r="D19" s="1">
        <f>B19-C19</f>
        <v>628.48070353673756</v>
      </c>
      <c r="E19">
        <f>gamma*(D18-E18)+E18</f>
        <v>154.52535950818543</v>
      </c>
      <c r="F19">
        <f>gamma*(ABS(D18)-F18)+F18</f>
        <v>264.42731299956819</v>
      </c>
      <c r="G19">
        <f t="shared" ref="G19" si="16">IF(F19=0,0,ABS(E19/F19))</f>
        <v>0.5843774523717139</v>
      </c>
      <c r="H19">
        <f>ABS((B19-C19)/B19)</f>
        <v>0.23687649010128806</v>
      </c>
      <c r="I19">
        <f>(B19-C19)^2</f>
        <v>394987.9947180326</v>
      </c>
    </row>
    <row r="20" spans="1:9" x14ac:dyDescent="0.45">
      <c r="A20" s="1">
        <v>19</v>
      </c>
      <c r="B20" s="1">
        <v>2557.5</v>
      </c>
      <c r="C20" s="1">
        <f>C19+G19*(B19-C19)</f>
        <v>2391.9892488608439</v>
      </c>
      <c r="D20" s="1">
        <f>B20-C20</f>
        <v>165.51075113915613</v>
      </c>
      <c r="E20">
        <f>gamma*(D19-E19)+E19</f>
        <v>224.44627331400554</v>
      </c>
      <c r="F20">
        <f>gamma*(ABS(D19)-F19)+F19</f>
        <v>318.13479000384166</v>
      </c>
      <c r="G20">
        <f t="shared" ref="G20" si="17">IF(F20=0,0,ABS(E20/F20))</f>
        <v>0.70550684919211515</v>
      </c>
      <c r="H20">
        <f>ABS((B20-C20)/B20)</f>
        <v>6.471583622254394E-2</v>
      </c>
      <c r="I20">
        <f>(B20-C20)^2</f>
        <v>27393.80874264767</v>
      </c>
    </row>
    <row r="21" spans="1:9" x14ac:dyDescent="0.45">
      <c r="A21" s="1">
        <v>20</v>
      </c>
      <c r="B21" s="1">
        <v>1712.7</v>
      </c>
      <c r="C21" s="1">
        <f>C20+G20*(B20-C20)</f>
        <v>2508.7582174044501</v>
      </c>
      <c r="D21" s="1">
        <f>B21-C21</f>
        <v>-796.05821740445003</v>
      </c>
      <c r="E21">
        <f>gamma*(D20-E20)+E20</f>
        <v>215.75172937013474</v>
      </c>
      <c r="F21">
        <f>gamma*(ABS(D20)-F20)+F20</f>
        <v>295.61871881568572</v>
      </c>
      <c r="G21">
        <f t="shared" ref="G21" si="18">IF(F21=0,0,ABS(E21/F21))</f>
        <v>0.72983108185599377</v>
      </c>
      <c r="H21">
        <f>ABS((B21-C21)/B21)</f>
        <v>0.46479723092453434</v>
      </c>
      <c r="I21">
        <f>(B21-C21)^2</f>
        <v>633708.68549715064</v>
      </c>
    </row>
    <row r="22" spans="1:9" x14ac:dyDescent="0.45">
      <c r="A22" s="1">
        <v>21</v>
      </c>
      <c r="B22" s="1">
        <v>2206.7999999999997</v>
      </c>
      <c r="C22" s="1">
        <f>C21+G21*(B21-C21)</f>
        <v>1927.7701873758065</v>
      </c>
      <c r="D22" s="1">
        <f>B22-C22</f>
        <v>279.02981262419326</v>
      </c>
      <c r="E22">
        <f>gamma*(D21-E21)+E21</f>
        <v>66.48307575614524</v>
      </c>
      <c r="F22">
        <f>gamma*(ABS(D21)-F21)+F21</f>
        <v>369.44674393812187</v>
      </c>
      <c r="G22">
        <f t="shared" ref="G22" si="19">IF(F22=0,0,ABS(E22/F22))</f>
        <v>0.17995306995392116</v>
      </c>
      <c r="H22">
        <f>ABS((B22-C22)/B22)</f>
        <v>0.12644091563539664</v>
      </c>
      <c r="I22">
        <f>(B22-C22)^2</f>
        <v>77857.636333092392</v>
      </c>
    </row>
    <row r="23" spans="1:9" x14ac:dyDescent="0.45">
      <c r="A23" s="1">
        <v>22</v>
      </c>
      <c r="B23" s="1">
        <v>2140.7999999999997</v>
      </c>
      <c r="C23" s="1">
        <f>C22+G22*(B22-C22)</f>
        <v>1977.9824587661974</v>
      </c>
      <c r="D23" s="1">
        <f>B23-C23</f>
        <v>162.81754123380233</v>
      </c>
      <c r="E23">
        <f>gamma*(D22-E22)+E22</f>
        <v>97.839325359618059</v>
      </c>
      <c r="F23">
        <f>gamma*(ABS(D22)-F22)+F22</f>
        <v>356.10786182477426</v>
      </c>
      <c r="G23">
        <f t="shared" ref="G23" si="20">IF(F23=0,0,ABS(E23/F23))</f>
        <v>0.27474632224705192</v>
      </c>
      <c r="H23">
        <f>ABS((B23-C23)/B23)</f>
        <v>7.6054531592770161E-2</v>
      </c>
      <c r="I23">
        <f>(B23-C23)^2</f>
        <v>26509.551733420922</v>
      </c>
    </row>
    <row r="24" spans="1:9" x14ac:dyDescent="0.45">
      <c r="A24" s="1">
        <v>23</v>
      </c>
      <c r="B24" s="1">
        <v>2546.4</v>
      </c>
      <c r="C24" s="1">
        <f>C23+G23*(B23-C23)</f>
        <v>2022.7159794174922</v>
      </c>
      <c r="D24" s="1">
        <f>B24-C24</f>
        <v>523.68402058250786</v>
      </c>
      <c r="E24">
        <f>gamma*(D23-E23)+E23</f>
        <v>107.42532600005204</v>
      </c>
      <c r="F24">
        <f>gamma*(ABS(D23)-F23)+F23</f>
        <v>327.59244150971921</v>
      </c>
      <c r="G24">
        <f t="shared" ref="G24" si="21">IF(F24=0,0,ABS(E24/F24))</f>
        <v>0.32792370149011779</v>
      </c>
      <c r="H24">
        <f>ABS((B24-C24)/B24)</f>
        <v>0.20565662134091575</v>
      </c>
      <c r="I24">
        <f>(B24-C24)^2</f>
        <v>274244.95341346052</v>
      </c>
    </row>
    <row r="25" spans="1:9" x14ac:dyDescent="0.45">
      <c r="A25" s="1">
        <v>24</v>
      </c>
      <c r="B25" s="1">
        <v>2322</v>
      </c>
      <c r="C25" s="1">
        <f>C24+G24*(B24-C24)</f>
        <v>2194.4443818581353</v>
      </c>
      <c r="D25" s="1">
        <f>B25-C25</f>
        <v>127.55561814186467</v>
      </c>
      <c r="E25">
        <f>gamma*(D24-E24)+E24</f>
        <v>168.83446226473296</v>
      </c>
      <c r="F25">
        <f>gamma*(ABS(D24)-F24)+F24</f>
        <v>356.52112133397208</v>
      </c>
      <c r="G25">
        <f t="shared" ref="G25" si="22">IF(F25=0,0,ABS(E25/F25))</f>
        <v>0.4735608976910427</v>
      </c>
      <c r="H25">
        <f>ABS((B25-C25)/B25)</f>
        <v>5.4933513411655761E-2</v>
      </c>
      <c r="I25">
        <f>(B25-C25)^2</f>
        <v>16270.435719553196</v>
      </c>
    </row>
    <row r="26" spans="1:9" x14ac:dyDescent="0.45">
      <c r="A26" s="1">
        <v>25</v>
      </c>
      <c r="B26" s="1">
        <v>2295.6</v>
      </c>
      <c r="C26" s="1">
        <f>C25+G25*(B25-C25)</f>
        <v>2254.8497348909327</v>
      </c>
      <c r="D26" s="1">
        <f>B26-C26</f>
        <v>40.750265109067186</v>
      </c>
      <c r="E26">
        <f>gamma*(D25-E25)+E25</f>
        <v>162.74474402801849</v>
      </c>
      <c r="F26">
        <f>gamma*(ABS(D25)-F25)+F25</f>
        <v>322.74267065310556</v>
      </c>
      <c r="G26">
        <f t="shared" ref="G26" si="23">IF(F26=0,0,ABS(E26/F26))</f>
        <v>0.50425542956153413</v>
      </c>
      <c r="H26">
        <f>ABS((B26-C26)/B26)</f>
        <v>1.7751465895220069E-2</v>
      </c>
      <c r="I26">
        <f>(B26-C26)^2</f>
        <v>1660.5841064592585</v>
      </c>
    </row>
    <row r="27" spans="1:9" x14ac:dyDescent="0.45">
      <c r="A27" s="1">
        <v>26</v>
      </c>
      <c r="B27" s="1">
        <v>2632.7999999999997</v>
      </c>
      <c r="C27" s="1">
        <f>C26+G26*(B26-C26)</f>
        <v>2275.3982773282519</v>
      </c>
      <c r="D27" s="1">
        <f>B27-C27</f>
        <v>357.40172267174785</v>
      </c>
      <c r="E27">
        <f>gamma*(D26-E26)+E26</f>
        <v>144.74734078581753</v>
      </c>
      <c r="F27">
        <f>gamma*(ABS(D26)-F26)+F26</f>
        <v>281.14135329196455</v>
      </c>
      <c r="G27">
        <f t="shared" ref="G27" si="24">IF(F27=0,0,ABS(E27/F27))</f>
        <v>0.51485610028880313</v>
      </c>
      <c r="H27">
        <f>ABS((B27-C27)/B27)</f>
        <v>0.13574966676988298</v>
      </c>
      <c r="I27">
        <f>(B27-C27)^2</f>
        <v>127735.99136873295</v>
      </c>
    </row>
    <row r="28" spans="1:9" x14ac:dyDescent="0.45">
      <c r="A28" s="1">
        <v>27</v>
      </c>
      <c r="B28" s="1">
        <v>2574</v>
      </c>
      <c r="C28" s="1">
        <f>C27+G27*(B27-C27)</f>
        <v>2459.4087344995282</v>
      </c>
      <c r="D28" s="1">
        <f>B28-C28</f>
        <v>114.59126550047176</v>
      </c>
      <c r="E28">
        <f>gamma*(D27-E27)+E27</f>
        <v>176.11947086856293</v>
      </c>
      <c r="F28">
        <f>gamma*(ABS(D27)-F27)+F27</f>
        <v>292.39176914102103</v>
      </c>
      <c r="G28">
        <f t="shared" ref="G28" si="25">IF(F28=0,0,ABS(E28/F28))</f>
        <v>0.60234072725768217</v>
      </c>
      <c r="H28">
        <f>ABS((B28-C28)/B28)</f>
        <v>4.4518751165684448E-2</v>
      </c>
      <c r="I28">
        <f>(B28-C28)^2</f>
        <v>13131.15812899961</v>
      </c>
    </row>
    <row r="29" spans="1:9" x14ac:dyDescent="0.45">
      <c r="A29" s="1">
        <v>28</v>
      </c>
      <c r="B29" s="1">
        <v>2646</v>
      </c>
      <c r="C29" s="1">
        <f>C28+G28*(B28-C28)</f>
        <v>2528.4317206984606</v>
      </c>
      <c r="D29" s="1">
        <f>B29-C29</f>
        <v>117.56827930153941</v>
      </c>
      <c r="E29">
        <f>gamma*(D28-E28)+E28</f>
        <v>167.04243777172769</v>
      </c>
      <c r="F29">
        <f>gamma*(ABS(D28)-F28)+F28</f>
        <v>266.1615053697293</v>
      </c>
      <c r="G29">
        <f t="shared" ref="G29" si="26">IF(F29=0,0,ABS(E29/F29))</f>
        <v>0.62759803503397804</v>
      </c>
      <c r="H29">
        <f>ABS((B29-C29)/B29)</f>
        <v>4.4432456274202344E-2</v>
      </c>
      <c r="I29">
        <f>(B29-C29)^2</f>
        <v>13822.300297924779</v>
      </c>
    </row>
    <row r="30" spans="1:9" x14ac:dyDescent="0.45">
      <c r="A30" s="1">
        <v>29</v>
      </c>
      <c r="B30" s="1">
        <v>2014.8</v>
      </c>
      <c r="C30" s="1">
        <f>C29+G29*(B29-C29)</f>
        <v>2602.2173417704325</v>
      </c>
      <c r="D30" s="1">
        <f>B30-C30</f>
        <v>-587.41734177043259</v>
      </c>
      <c r="E30">
        <f>gamma*(D29-E29)+E29</f>
        <v>159.74369451755072</v>
      </c>
      <c r="F30">
        <f>gamma*(ABS(D29)-F29)+F29</f>
        <v>244.24008538165393</v>
      </c>
      <c r="G30">
        <f t="shared" ref="G30" si="27">IF(F30=0,0,ABS(E30/F30))</f>
        <v>0.65404372205296424</v>
      </c>
      <c r="H30">
        <f>ABS((B30-C30)/B30)</f>
        <v>0.29155119206394314</v>
      </c>
      <c r="I30">
        <f>(B30-C30)^2</f>
        <v>345059.13341264118</v>
      </c>
    </row>
    <row r="31" spans="1:9" x14ac:dyDescent="0.45">
      <c r="A31" s="1">
        <v>30</v>
      </c>
      <c r="B31" s="1">
        <v>1998</v>
      </c>
      <c r="C31" s="1">
        <f>C30+G30*(B30-C30)</f>
        <v>2218.0207171604407</v>
      </c>
      <c r="D31" s="1">
        <f>B31-C31</f>
        <v>-220.02071716044065</v>
      </c>
      <c r="E31">
        <f>gamma*(D30-E30)+E30</f>
        <v>49.517735309435707</v>
      </c>
      <c r="F31">
        <f>gamma*(ABS(D30)-F30)+F30</f>
        <v>294.86778199146806</v>
      </c>
      <c r="G31">
        <f t="shared" ref="G31" si="28">IF(F31=0,0,ABS(E31/F31))</f>
        <v>0.16793199641888476</v>
      </c>
      <c r="H31">
        <f>ABS((B31-C31)/B31)</f>
        <v>0.1101204790592796</v>
      </c>
      <c r="I31">
        <f>(B31-C31)^2</f>
        <v>48409.115979794624</v>
      </c>
    </row>
    <row r="32" spans="1:9" x14ac:dyDescent="0.45">
      <c r="A32" s="1">
        <v>31</v>
      </c>
      <c r="B32" s="1">
        <v>2976</v>
      </c>
      <c r="C32" s="1">
        <f>C31+G31*(B31-C31)</f>
        <v>2181.072198874173</v>
      </c>
      <c r="D32" s="1">
        <f>B32-C32</f>
        <v>794.92780112582705</v>
      </c>
      <c r="E32">
        <f>gamma*(D31-E31)+E31</f>
        <v>9.7537044994676378</v>
      </c>
      <c r="F32">
        <f>gamma*(ABS(D31)-F31)+F31</f>
        <v>283.82586583922898</v>
      </c>
      <c r="G32">
        <f t="shared" ref="G32" si="29">IF(F32=0,0,ABS(E32/F32))</f>
        <v>3.4365100836132215E-2</v>
      </c>
      <c r="H32">
        <f>ABS((B32-C32)/B32)</f>
        <v>0.26711283639980749</v>
      </c>
      <c r="I32">
        <f>(B32-C32)^2</f>
        <v>631910.20900274243</v>
      </c>
    </row>
    <row r="33" spans="1:9" x14ac:dyDescent="0.45">
      <c r="A33" s="1">
        <v>32</v>
      </c>
      <c r="B33" s="1">
        <v>1867.1999999999998</v>
      </c>
      <c r="C33" s="1">
        <f>C32+G32*(B32-C32)</f>
        <v>2208.3899729173067</v>
      </c>
      <c r="D33" s="1">
        <f>B33-C33</f>
        <v>-341.18997291730693</v>
      </c>
      <c r="E33">
        <f>gamma*(D32-E32)+E32</f>
        <v>125.5875927011102</v>
      </c>
      <c r="F33">
        <f>gamma*(ABS(D32)-F32)+F32</f>
        <v>359.22688159612528</v>
      </c>
      <c r="G33">
        <f t="shared" ref="G33" si="30">IF(F33=0,0,ABS(E33/F33))</f>
        <v>0.3496052192505652</v>
      </c>
      <c r="H33">
        <f>ABS((B33-C33)/B33)</f>
        <v>0.18272813459581563</v>
      </c>
      <c r="I33">
        <f>(B33-C33)^2</f>
        <v>116410.59761931264</v>
      </c>
    </row>
    <row r="34" spans="1:9" x14ac:dyDescent="0.45">
      <c r="A34" s="1">
        <v>33</v>
      </c>
      <c r="B34" s="1">
        <v>1845.6</v>
      </c>
      <c r="C34" s="1">
        <f>C33+G33*(B33-C33)</f>
        <v>2089.1081776294573</v>
      </c>
      <c r="D34" s="1">
        <f>B34-C34</f>
        <v>-243.50817762945735</v>
      </c>
      <c r="E34">
        <f>gamma*(D33-E33)+E33</f>
        <v>56.72559052453019</v>
      </c>
      <c r="F34">
        <f>gamma*(ABS(D33)-F33)+F33</f>
        <v>356.56596184293619</v>
      </c>
      <c r="G34">
        <f t="shared" ref="G34" si="31">IF(F34=0,0,ABS(E34/F34))</f>
        <v>0.15908863042153545</v>
      </c>
      <c r="H34">
        <f>ABS((B34-C34)/B34)</f>
        <v>0.13193984483607357</v>
      </c>
      <c r="I34">
        <f>(B34-C34)^2</f>
        <v>59296.232572419351</v>
      </c>
    </row>
    <row r="35" spans="1:9" x14ac:dyDescent="0.45">
      <c r="A35" s="1">
        <v>34</v>
      </c>
      <c r="B35" s="1">
        <v>2764.7999999999997</v>
      </c>
      <c r="C35" s="1">
        <f>C34+G34*(B34-C34)</f>
        <v>2050.3687951539428</v>
      </c>
      <c r="D35" s="1">
        <f>B35-C35</f>
        <v>714.43120484605697</v>
      </c>
      <c r="E35">
        <f>gamma*(D34-E34)+E34</f>
        <v>12.433191062890408</v>
      </c>
      <c r="F35">
        <f>gamma*(ABS(D34)-F34)+F34</f>
        <v>339.88695677491557</v>
      </c>
      <c r="G35">
        <f t="shared" ref="G35" si="32">IF(F35=0,0,ABS(E35/F35))</f>
        <v>3.6580371253034226E-2</v>
      </c>
      <c r="H35">
        <f>ABS((B35-C35)/B35)</f>
        <v>0.25840249017869538</v>
      </c>
      <c r="I35">
        <f>(B35-C35)^2</f>
        <v>510411.94645778864</v>
      </c>
    </row>
    <row r="36" spans="1:9" x14ac:dyDescent="0.45">
      <c r="A36" s="1">
        <v>35</v>
      </c>
      <c r="B36" s="1">
        <v>2088</v>
      </c>
      <c r="C36" s="1">
        <f>C35+G35*(B35-C35)</f>
        <v>2076.5029538619642</v>
      </c>
      <c r="D36" s="1">
        <f>B36-C36</f>
        <v>11.497046138035785</v>
      </c>
      <c r="E36">
        <f>gamma*(D35-E35)+E35</f>
        <v>115.99641327783553</v>
      </c>
      <c r="F36">
        <f>gamma*(ABS(D35)-F35)+F35</f>
        <v>395.14211196158294</v>
      </c>
      <c r="G36">
        <f t="shared" ref="G36" si="33">IF(F36=0,0,ABS(E36/F36))</f>
        <v>0.2935561909663354</v>
      </c>
      <c r="H36">
        <f>ABS((B36-C36)/B36)</f>
        <v>5.5062481504002799E-3</v>
      </c>
      <c r="I36">
        <f>(B36-C36)^2</f>
        <v>132.18206990012357</v>
      </c>
    </row>
    <row r="37" spans="1:9" x14ac:dyDescent="0.45">
      <c r="A37" s="1">
        <v>36</v>
      </c>
      <c r="B37" s="1">
        <v>2553.6</v>
      </c>
      <c r="C37" s="1">
        <f>C36+G36*(B36-C36)</f>
        <v>2079.8779829336104</v>
      </c>
      <c r="D37" s="1">
        <f>B37-C37</f>
        <v>473.72201706638953</v>
      </c>
      <c r="E37">
        <f>gamma*(D36-E36)+E36</f>
        <v>100.58000045624169</v>
      </c>
      <c r="F37">
        <f>gamma*(ABS(D36)-F36)+F36</f>
        <v>338.5443461225708</v>
      </c>
      <c r="G37">
        <f t="shared" ref="G37" si="34">IF(F37=0,0,ABS(E37/F37))</f>
        <v>0.29709549607963753</v>
      </c>
      <c r="H37">
        <f>ABS((B37-C37)/B37)</f>
        <v>0.18551144152035931</v>
      </c>
      <c r="I37">
        <f>(B37-C37)^2</f>
        <v>224412.54945344865</v>
      </c>
    </row>
    <row r="38" spans="1:9" x14ac:dyDescent="0.45">
      <c r="A38" s="1">
        <v>37</v>
      </c>
      <c r="B38" s="1">
        <v>1980</v>
      </c>
      <c r="C38" s="1">
        <f>C37+G37*(B37-C37)</f>
        <v>2220.618660597796</v>
      </c>
      <c r="D38" s="1">
        <f>B38-C38</f>
        <v>-240.61866059779595</v>
      </c>
      <c r="E38">
        <f>gamma*(D37-E37)+E37</f>
        <v>155.6282895185891</v>
      </c>
      <c r="F38">
        <f>gamma*(ABS(D37)-F37)+F37</f>
        <v>358.48661789483481</v>
      </c>
      <c r="G38">
        <f t="shared" ref="G38" si="35">IF(F38=0,0,ABS(E38/F38))</f>
        <v>0.43412579926273293</v>
      </c>
      <c r="H38">
        <f>ABS((B38-C38)/B38)</f>
        <v>0.12152457605949291</v>
      </c>
      <c r="I38">
        <f>(B38-C38)^2</f>
        <v>57897.339827877324</v>
      </c>
    </row>
    <row r="39" spans="1:9" x14ac:dyDescent="0.45">
      <c r="A39" s="1">
        <v>38</v>
      </c>
      <c r="B39" s="1">
        <v>2842.7999999999997</v>
      </c>
      <c r="C39" s="1">
        <f>C38+G38*(B38-C38)</f>
        <v>2116.1598922482494</v>
      </c>
      <c r="D39" s="1">
        <f>B39-C39</f>
        <v>726.64010775175029</v>
      </c>
      <c r="E39">
        <f>gamma*(D38-E38)+E38</f>
        <v>97.17141337196675</v>
      </c>
      <c r="F39">
        <f>gamma*(ABS(D38)-F38)+F38</f>
        <v>341.0979854287815</v>
      </c>
      <c r="G39">
        <f t="shared" ref="G39" si="36">IF(F39=0,0,ABS(E39/F39))</f>
        <v>0.28487829750684751</v>
      </c>
      <c r="H39">
        <f>ABS((B39-C39)/B39)</f>
        <v>0.25560718578575714</v>
      </c>
      <c r="I39">
        <f>(B39-C39)^2</f>
        <v>528005.8461934753</v>
      </c>
    </row>
    <row r="40" spans="1:9" x14ac:dyDescent="0.45">
      <c r="A40" s="1">
        <v>39</v>
      </c>
      <c r="B40" s="1">
        <v>2328</v>
      </c>
      <c r="C40" s="1">
        <f>C39+G39*(B39-C39)</f>
        <v>2323.1638890447603</v>
      </c>
      <c r="D40" s="1">
        <f>B40-C40</f>
        <v>4.8361109552397465</v>
      </c>
      <c r="E40">
        <f>gamma*(D39-E39)+E39</f>
        <v>190.03464801573421</v>
      </c>
      <c r="F40">
        <f>gamma*(ABS(D39)-F39)+F39</f>
        <v>397.97561713628107</v>
      </c>
      <c r="G40">
        <f t="shared" ref="G40" si="37">IF(F40=0,0,ABS(E40/F40))</f>
        <v>0.47750324349810491</v>
      </c>
      <c r="H40">
        <f>ABS((B40-C40)/B40)</f>
        <v>2.0773672488143243E-3</v>
      </c>
      <c r="I40">
        <f>(B40-C40)^2</f>
        <v>23.387969171389894</v>
      </c>
    </row>
    <row r="41" spans="1:9" x14ac:dyDescent="0.45">
      <c r="A41" s="1">
        <v>40</v>
      </c>
      <c r="B41" s="1">
        <v>2404</v>
      </c>
      <c r="C41" s="1">
        <f>C40+G40*(B40-C40)</f>
        <v>2325.4731477118039</v>
      </c>
      <c r="D41" s="1">
        <f>B41-C41</f>
        <v>78.526852288196096</v>
      </c>
      <c r="E41">
        <f>gamma*(D40-E40)+E40</f>
        <v>162.7129791920344</v>
      </c>
      <c r="F41">
        <f>gamma*(ABS(D40)-F40)+F40</f>
        <v>339.97717092888627</v>
      </c>
      <c r="G41">
        <f t="shared" ref="G41" si="38">IF(F41=0,0,ABS(E41/F41))</f>
        <v>0.47859972111500809</v>
      </c>
      <c r="H41">
        <f>ABS((B41-C41)/B41)</f>
        <v>3.2665079986770422E-2</v>
      </c>
      <c r="I41">
        <f>(B41-C41)^2</f>
        <v>6166.4665302921685</v>
      </c>
    </row>
    <row r="42" spans="1:9" x14ac:dyDescent="0.45">
      <c r="A42" s="1">
        <v>41</v>
      </c>
      <c r="B42" s="1">
        <v>1614</v>
      </c>
      <c r="C42" s="1">
        <f>C41+G41*(B41-C41)</f>
        <v>2363.0560773169741</v>
      </c>
      <c r="D42" s="1">
        <f>B42-C42</f>
        <v>-749.0560773169741</v>
      </c>
      <c r="E42">
        <f>gamma*(D41-E41)+E41</f>
        <v>150.29330506650223</v>
      </c>
      <c r="F42">
        <f>gamma*(ABS(D41)-F41)+F41</f>
        <v>301.40635318307216</v>
      </c>
      <c r="G42">
        <f t="shared" ref="G42" si="39">IF(F42=0,0,ABS(E42/F42))</f>
        <v>0.49864013641150789</v>
      </c>
      <c r="H42">
        <f>ABS((B42-C42)/B42)</f>
        <v>0.46409918049378818</v>
      </c>
      <c r="I42">
        <f>(B42-C42)^2</f>
        <v>561085.00696549262</v>
      </c>
    </row>
    <row r="43" spans="1:9" x14ac:dyDescent="0.45">
      <c r="A43" s="1">
        <v>42</v>
      </c>
      <c r="B43" s="1">
        <v>1851</v>
      </c>
      <c r="C43" s="1">
        <f>C42+G42*(B42-C42)</f>
        <v>1989.5466527437691</v>
      </c>
      <c r="D43" s="1">
        <f>B43-C43</f>
        <v>-138.54665274376907</v>
      </c>
      <c r="E43">
        <f>gamma*(D42-E42)+E42</f>
        <v>17.615550845074239</v>
      </c>
      <c r="F43">
        <f>gamma*(ABS(D42)-F42)+F42</f>
        <v>367.4464942442944</v>
      </c>
      <c r="G43">
        <f t="shared" ref="G43" si="40">IF(F43=0,0,ABS(E43/F43))</f>
        <v>4.7940451524250097E-2</v>
      </c>
      <c r="H43">
        <f>ABS((B43-C43)/B43)</f>
        <v>7.4849623308357149E-2</v>
      </c>
      <c r="I43">
        <f>(B43-C43)^2</f>
        <v>19195.174986502534</v>
      </c>
    </row>
    <row r="44" spans="1:9" x14ac:dyDescent="0.45">
      <c r="A44" s="1">
        <v>43</v>
      </c>
      <c r="B44" s="1">
        <v>1648</v>
      </c>
      <c r="C44" s="1">
        <f>C43+G43*(B43-C43)</f>
        <v>1982.9046636540593</v>
      </c>
      <c r="D44" s="1">
        <f>B44-C44</f>
        <v>-334.90466365405928</v>
      </c>
      <c r="E44">
        <f>gamma*(D43-E43)+E43</f>
        <v>-5.4224929589105066</v>
      </c>
      <c r="F44">
        <f>gamma*(ABS(D43)-F43)+F43</f>
        <v>333.67773039476191</v>
      </c>
      <c r="G44">
        <f t="shared" ref="G44" si="41">IF(F44=0,0,ABS(E44/F44))</f>
        <v>1.6250688808316198E-2</v>
      </c>
      <c r="H44">
        <f>ABS((B44-C44)/B44)</f>
        <v>0.20321884930464762</v>
      </c>
      <c r="I44">
        <f>(B44-C44)^2</f>
        <v>112161.13373723858</v>
      </c>
    </row>
    <row r="45" spans="1:9" x14ac:dyDescent="0.45">
      <c r="A45" s="1">
        <v>44</v>
      </c>
      <c r="B45" s="1">
        <v>1637</v>
      </c>
      <c r="C45" s="1">
        <f>C44+G44*(B44-C44)</f>
        <v>1977.4622321845634</v>
      </c>
      <c r="D45" s="1">
        <f>B45-C45</f>
        <v>-340.46223218456339</v>
      </c>
      <c r="E45">
        <f>gamma*(D44-E44)+E44</f>
        <v>-54.029803221335072</v>
      </c>
      <c r="F45">
        <f>gamma*(ABS(D44)-F44)+F44</f>
        <v>333.85873541084555</v>
      </c>
      <c r="G45">
        <f t="shared" ref="G45" si="42">IF(F45=0,0,ABS(E45/F45))</f>
        <v>0.16183432539168446</v>
      </c>
      <c r="H45">
        <f>ABS((B45-C45)/B45)</f>
        <v>0.20797937213473633</v>
      </c>
      <c r="I45">
        <f>(B45-C45)^2</f>
        <v>115914.53154409555</v>
      </c>
    </row>
    <row r="46" spans="1:9" x14ac:dyDescent="0.45">
      <c r="A46" s="1">
        <v>45</v>
      </c>
      <c r="B46" s="1">
        <v>2211.3000000000002</v>
      </c>
      <c r="C46" s="1">
        <f>C45+G45*(B45-C45)</f>
        <v>1922.3637565176275</v>
      </c>
      <c r="D46" s="1">
        <f>B46-C46</f>
        <v>288.93624348237267</v>
      </c>
      <c r="E46">
        <f>gamma*(D45-E45)+E45</f>
        <v>-96.286141142325079</v>
      </c>
      <c r="F46">
        <f>gamma*(ABS(D45)-F45)+F45</f>
        <v>334.83292535204879</v>
      </c>
      <c r="G46">
        <f t="shared" ref="G46" si="43">IF(F46=0,0,ABS(E46/F46))</f>
        <v>0.28756473408667399</v>
      </c>
      <c r="H46">
        <f>ABS((B46-C46)/B46)</f>
        <v>0.13066352077166041</v>
      </c>
      <c r="I46">
        <f>(B46-C46)^2</f>
        <v>83484.152797704941</v>
      </c>
    </row>
    <row r="47" spans="1:9" x14ac:dyDescent="0.45">
      <c r="A47" s="1">
        <v>46</v>
      </c>
      <c r="B47" s="1">
        <v>1754.1000000000001</v>
      </c>
      <c r="C47" s="1">
        <f>C46+G46*(B46-C46)</f>
        <v>2005.4516305426384</v>
      </c>
      <c r="D47" s="1">
        <f>B47-C47</f>
        <v>-251.3516305426383</v>
      </c>
      <c r="E47">
        <f>gamma*(D46-E46)+E46</f>
        <v>-39.455679178395116</v>
      </c>
      <c r="F47">
        <f>gamma*(ABS(D46)-F46)+F46</f>
        <v>328.06195425231277</v>
      </c>
      <c r="G47">
        <f t="shared" ref="G47" si="44">IF(F47=0,0,ABS(E47/F47))</f>
        <v>0.12026898781456906</v>
      </c>
      <c r="H47">
        <f>ABS((B47-C47)/B47)</f>
        <v>0.14329378629647016</v>
      </c>
      <c r="I47">
        <f>(B47-C47)^2</f>
        <v>63177.642176442947</v>
      </c>
    </row>
    <row r="48" spans="1:9" x14ac:dyDescent="0.45">
      <c r="A48" s="1">
        <v>47</v>
      </c>
      <c r="B48" s="1">
        <v>1600.2</v>
      </c>
      <c r="C48" s="1">
        <f>C47+G47*(B47-C47)</f>
        <v>1975.2218243517339</v>
      </c>
      <c r="D48" s="1">
        <f>B48-C48</f>
        <v>-375.02182435173381</v>
      </c>
      <c r="E48">
        <f>gamma*(D47-E47)+E47</f>
        <v>-70.715920755603605</v>
      </c>
      <c r="F48">
        <f>gamma*(ABS(D47)-F47)+F47</f>
        <v>316.74515827206199</v>
      </c>
      <c r="G48">
        <f t="shared" ref="G48" si="45">IF(F48=0,0,ABS(E48/F48))</f>
        <v>0.22325809537667365</v>
      </c>
      <c r="H48">
        <f>ABS((B48-C48)/B48)</f>
        <v>0.23435934530167091</v>
      </c>
      <c r="I48">
        <f>(B48-C48)^2</f>
        <v>140641.36874010268</v>
      </c>
    </row>
    <row r="49" spans="1:9" x14ac:dyDescent="0.45">
      <c r="A49" s="1">
        <v>48</v>
      </c>
      <c r="B49" s="1">
        <v>2001.6000000000001</v>
      </c>
      <c r="C49" s="1">
        <f>C48+G48*(B48-C48)</f>
        <v>1891.4951661222804</v>
      </c>
      <c r="D49" s="1">
        <f>B49-C49</f>
        <v>110.10483387771978</v>
      </c>
      <c r="E49">
        <f>gamma*(D48-E48)+E48</f>
        <v>-115.60906759744073</v>
      </c>
      <c r="F49">
        <f>gamma*(ABS(D48)-F48)+F48</f>
        <v>325.34250356457932</v>
      </c>
      <c r="G49">
        <f t="shared" ref="G49" si="46">IF(F49=0,0,ABS(E49/F49))</f>
        <v>0.35534572436980322</v>
      </c>
      <c r="H49">
        <f>ABS((B49-C49)/B49)</f>
        <v>5.5008410210691333E-2</v>
      </c>
      <c r="I49">
        <f>(B49-C49)^2</f>
        <v>12123.07444324027</v>
      </c>
    </row>
    <row r="50" spans="1:9" x14ac:dyDescent="0.45">
      <c r="A50" s="1">
        <v>49</v>
      </c>
      <c r="B50" s="1">
        <v>1812.6000000000001</v>
      </c>
      <c r="C50" s="1">
        <f>C49+G49*(B49-C49)</f>
        <v>1930.6204480731756</v>
      </c>
      <c r="D50" s="1">
        <f>B50-C50</f>
        <v>-118.02044807317543</v>
      </c>
      <c r="E50">
        <f>gamma*(D49-E49)+E49</f>
        <v>-82.310313930746503</v>
      </c>
      <c r="F50">
        <f>gamma*(ABS(D49)-F49)+F49</f>
        <v>293.58927039703883</v>
      </c>
      <c r="G50">
        <f t="shared" ref="G50" si="47">IF(F50=0,0,ABS(E50/F50))</f>
        <v>0.28035872639157827</v>
      </c>
      <c r="H50">
        <f>ABS((B50-C50)/B50)</f>
        <v>6.511113763277912E-2</v>
      </c>
      <c r="I50">
        <f>(B50-C50)^2</f>
        <v>13928.826163393098</v>
      </c>
    </row>
    <row r="51" spans="1:9" x14ac:dyDescent="0.45">
      <c r="A51" s="1">
        <v>50</v>
      </c>
      <c r="B51" s="1">
        <v>2025</v>
      </c>
      <c r="C51" s="1">
        <f>C50+G50*(B50-C50)</f>
        <v>1897.5323855632166</v>
      </c>
      <c r="D51" s="1">
        <f>B51-C51</f>
        <v>127.46761443678338</v>
      </c>
      <c r="E51">
        <f>gamma*(D50-E50)+E50</f>
        <v>-87.578500570744865</v>
      </c>
      <c r="F51">
        <f>gamma*(ABS(D50)-F50)+F50</f>
        <v>267.68823848050312</v>
      </c>
      <c r="G51">
        <f t="shared" ref="G51" si="48">IF(F51=0,0,ABS(E51/F51))</f>
        <v>0.32716603862714566</v>
      </c>
      <c r="H51">
        <f>ABS((B51-C51)/B51)</f>
        <v>6.2946970092238708E-2</v>
      </c>
      <c r="I51">
        <f>(B51-C51)^2</f>
        <v>16247.992730204467</v>
      </c>
    </row>
    <row r="52" spans="1:9" x14ac:dyDescent="0.45">
      <c r="A52" s="1">
        <v>51</v>
      </c>
      <c r="B52" s="1">
        <v>1508.4</v>
      </c>
      <c r="C52" s="1">
        <f>C51+G51*(B51-C51)</f>
        <v>1939.2354600317515</v>
      </c>
      <c r="D52" s="1">
        <f>B52-C52</f>
        <v>-430.83546003175138</v>
      </c>
      <c r="E52">
        <f>gamma*(D51-E51)+E51</f>
        <v>-55.853526770656131</v>
      </c>
      <c r="F52">
        <f>gamma*(ABS(D51)-F51)+F51</f>
        <v>247.00199811822841</v>
      </c>
      <c r="G52">
        <f t="shared" ref="G52" si="49">IF(F52=0,0,ABS(E52/F52))</f>
        <v>0.22612580949212255</v>
      </c>
      <c r="H52">
        <f>ABS((B52-C52)/B52)</f>
        <v>0.2856241448102303</v>
      </c>
      <c r="I52">
        <f>(B52-C52)^2</f>
        <v>185619.19362077085</v>
      </c>
    </row>
    <row r="53" spans="1:9" x14ac:dyDescent="0.45">
      <c r="A53" s="1">
        <v>52</v>
      </c>
      <c r="B53" s="1">
        <v>1693.8</v>
      </c>
      <c r="C53" s="1">
        <f>C52+G52*(B52-C52)</f>
        <v>1841.8124428741608</v>
      </c>
      <c r="D53" s="1">
        <f>B53-C53</f>
        <v>-148.0124428741608</v>
      </c>
      <c r="E53">
        <f>gamma*(D52-E52)+E52</f>
        <v>-111.17325206677883</v>
      </c>
      <c r="F53">
        <f>gamma*(ABS(D52)-F52)+F52</f>
        <v>274.12228235392342</v>
      </c>
      <c r="G53">
        <f t="shared" ref="G53" si="50">IF(F53=0,0,ABS(E53/F53))</f>
        <v>0.40556079977198412</v>
      </c>
      <c r="H53">
        <f>ABS((B53-C53)/B53)</f>
        <v>8.7384840520817575E-2</v>
      </c>
      <c r="I53">
        <f>(B53-C53)^2</f>
        <v>21907.683245576714</v>
      </c>
    </row>
    <row r="54" spans="1:9" x14ac:dyDescent="0.45">
      <c r="A54" s="1">
        <v>53</v>
      </c>
      <c r="B54" s="1">
        <v>2007</v>
      </c>
      <c r="C54" s="1">
        <f>C53+G53*(B53-C53)</f>
        <v>1781.7843981659109</v>
      </c>
      <c r="D54" s="1">
        <f>B54-C54</f>
        <v>225.21560183408906</v>
      </c>
      <c r="E54">
        <f>gamma*(D53-E53)+E53</f>
        <v>-116.60800434370208</v>
      </c>
      <c r="F54">
        <f>gamma*(ABS(D53)-F53)+F53</f>
        <v>255.51775488645995</v>
      </c>
      <c r="G54">
        <f t="shared" ref="G54" si="51">IF(F54=0,0,ABS(E54/F54))</f>
        <v>0.45635969365618911</v>
      </c>
      <c r="H54">
        <f>ABS((B54-C54)/B54)</f>
        <v>0.11221504824817591</v>
      </c>
      <c r="I54">
        <f>(B54-C54)^2</f>
        <v>50722.067309490936</v>
      </c>
    </row>
    <row r="55" spans="1:9" x14ac:dyDescent="0.45">
      <c r="A55" s="1">
        <v>54</v>
      </c>
      <c r="B55" s="1">
        <v>1642.5</v>
      </c>
      <c r="C55" s="1">
        <f>C54+G54*(B54-C54)</f>
        <v>1884.5637212255101</v>
      </c>
      <c r="D55" s="1">
        <f>B55-C55</f>
        <v>-242.06372122551011</v>
      </c>
      <c r="E55">
        <f>gamma*(D54-E54)+E54</f>
        <v>-66.180006842502678</v>
      </c>
      <c r="F55">
        <f>gamma*(ABS(D54)-F54)+F54</f>
        <v>251.04738809262557</v>
      </c>
      <c r="G55">
        <f t="shared" ref="G55" si="52">IF(F55=0,0,ABS(E55/F55))</f>
        <v>0.26361559602478374</v>
      </c>
      <c r="H55">
        <f>ABS((B55-C55)/B55)</f>
        <v>0.14737517274003659</v>
      </c>
      <c r="I55">
        <f>(B55-C55)^2</f>
        <v>58594.845133541472</v>
      </c>
    </row>
    <row r="56" spans="1:9" x14ac:dyDescent="0.45">
      <c r="A56" s="1">
        <v>55</v>
      </c>
      <c r="B56" s="1">
        <v>1917</v>
      </c>
      <c r="C56" s="1">
        <f>C55+G55*(B55-C55)</f>
        <v>1820.7519490786701</v>
      </c>
      <c r="D56" s="1">
        <f>B56-C56</f>
        <v>96.248050921329877</v>
      </c>
      <c r="E56">
        <f>gamma*(D55-E55)+E55</f>
        <v>-92.127493643033176</v>
      </c>
      <c r="F56">
        <f>gamma*(ABS(D55)-F55)+F55</f>
        <v>249.72206028571316</v>
      </c>
      <c r="G56">
        <f t="shared" ref="G56" si="53">IF(F56=0,0,ABS(E56/F56))</f>
        <v>0.36892012478844616</v>
      </c>
      <c r="H56">
        <f>ABS((B56-C56)/B56)</f>
        <v>5.0207642629801708E-2</v>
      </c>
      <c r="I56">
        <f>(B56-C56)^2</f>
        <v>9263.6873061549086</v>
      </c>
    </row>
    <row r="57" spans="1:9" x14ac:dyDescent="0.45">
      <c r="A57" s="1">
        <v>56</v>
      </c>
      <c r="B57" s="1">
        <v>1721.7</v>
      </c>
      <c r="C57" s="1">
        <f>C56+G56*(B56-C56)</f>
        <v>1856.2597920352118</v>
      </c>
      <c r="D57" s="1">
        <f>B57-C57</f>
        <v>-134.55979203521179</v>
      </c>
      <c r="E57">
        <f>gamma*(D56-E56)+E56</f>
        <v>-64.337132419010814</v>
      </c>
      <c r="F57">
        <f>gamma*(ABS(D56)-F56)+F56</f>
        <v>227.08059603089887</v>
      </c>
      <c r="G57">
        <f t="shared" ref="G57" si="54">IF(F57=0,0,ABS(E57/F57))</f>
        <v>0.28332289743618805</v>
      </c>
      <c r="H57">
        <f>ABS((B57-C57)/B57)</f>
        <v>7.8155190820242651E-2</v>
      </c>
      <c r="I57">
        <f>(B57-C57)^2</f>
        <v>18106.337632559444</v>
      </c>
    </row>
    <row r="58" spans="1:9" x14ac:dyDescent="0.45">
      <c r="A58" s="1">
        <v>57</v>
      </c>
      <c r="B58" s="1">
        <v>1440</v>
      </c>
      <c r="C58" s="1">
        <f>C57+G57*(B57-C57)</f>
        <v>1818.1359218773848</v>
      </c>
      <c r="D58" s="1">
        <f>B58-C58</f>
        <v>-378.13592187738482</v>
      </c>
      <c r="E58">
        <f>gamma*(D57-E57)+E57</f>
        <v>-74.696826833478781</v>
      </c>
      <c r="F58">
        <f>gamma*(ABS(D57)-F57)+F57</f>
        <v>213.43133720739692</v>
      </c>
      <c r="G58">
        <f t="shared" ref="G58" si="55">IF(F58=0,0,ABS(E58/F58))</f>
        <v>0.34998059708961055</v>
      </c>
      <c r="H58">
        <f>ABS((B58-C58)/B58)</f>
        <v>0.26259439019262837</v>
      </c>
      <c r="I58">
        <f>(B58-C58)^2</f>
        <v>142986.77541405967</v>
      </c>
    </row>
    <row r="59" spans="1:9" x14ac:dyDescent="0.45">
      <c r="A59" s="1">
        <v>58</v>
      </c>
      <c r="B59" s="1">
        <v>1775.7</v>
      </c>
      <c r="C59" s="1">
        <f>C58+G58*(B58-C58)</f>
        <v>1685.7956861577075</v>
      </c>
      <c r="D59" s="1">
        <f>B59-C59</f>
        <v>89.904313842292595</v>
      </c>
      <c r="E59">
        <f>gamma*(D58-E58)+E58</f>
        <v>-119.46209655180664</v>
      </c>
      <c r="F59">
        <f>gamma*(ABS(D58)-F58)+F58</f>
        <v>237.72960752596063</v>
      </c>
      <c r="G59">
        <f t="shared" ref="G59" si="56">IF(F59=0,0,ABS(E59/F59))</f>
        <v>0.50251248801124238</v>
      </c>
      <c r="H59">
        <f>ABS((B59-C59)/B59)</f>
        <v>5.0630350758738861E-2</v>
      </c>
      <c r="I59">
        <f>(B59-C59)^2</f>
        <v>8082.7856474534437</v>
      </c>
    </row>
    <row r="60" spans="1:9" x14ac:dyDescent="0.45">
      <c r="A60" s="1">
        <v>59</v>
      </c>
      <c r="B60" s="1">
        <v>2242.8000000000002</v>
      </c>
      <c r="C60" s="1">
        <f>C59+G59*(B59-C59)</f>
        <v>1730.9737265895415</v>
      </c>
      <c r="D60" s="1">
        <f>B60-C60</f>
        <v>511.82627341045873</v>
      </c>
      <c r="E60">
        <f>gamma*(D59-E59)+E59</f>
        <v>-88.575028984280948</v>
      </c>
      <c r="F60">
        <f>gamma*(ABS(D59)-F59)+F59</f>
        <v>215.92147781880169</v>
      </c>
      <c r="G60">
        <f t="shared" ref="G60" si="57">IF(F60=0,0,ABS(E60/F60))</f>
        <v>0.410218704869239</v>
      </c>
      <c r="H60">
        <f>ABS((B60-C60)/B60)</f>
        <v>0.22820861129412284</v>
      </c>
      <c r="I60">
        <f>(B60-C60)^2</f>
        <v>261966.13415323765</v>
      </c>
    </row>
    <row r="61" spans="1:9" x14ac:dyDescent="0.45">
      <c r="A61" s="1">
        <v>60</v>
      </c>
      <c r="B61" s="1">
        <v>1638.9</v>
      </c>
      <c r="C61" s="1">
        <f>C60+G60*(B60-C60)</f>
        <v>1940.9344375860289</v>
      </c>
      <c r="D61" s="1">
        <f>B61-C61</f>
        <v>-302.03443758602884</v>
      </c>
      <c r="E61">
        <f>gamma*(D60-E60)+E60</f>
        <v>-1.3101215898814189E-6</v>
      </c>
      <c r="F61">
        <f>gamma*(ABS(D60)-F60)+F60</f>
        <v>259.5752396509431</v>
      </c>
      <c r="G61">
        <f t="shared" ref="G61" si="58">IF(F61=0,0,ABS(E61/F61))</f>
        <v>5.0471747291581818E-9</v>
      </c>
      <c r="H61">
        <f>ABS((B61-C61)/B61)</f>
        <v>0.18429094977486657</v>
      </c>
      <c r="I61">
        <f>(B61-C61)^2</f>
        <v>91224.801487908757</v>
      </c>
    </row>
    <row r="62" spans="1:9" x14ac:dyDescent="0.45">
      <c r="A62" s="1">
        <v>61</v>
      </c>
      <c r="B62" s="1">
        <v>1717.2</v>
      </c>
      <c r="C62" s="1">
        <f>C61+G61*(B61-C61)</f>
        <v>1940.9344360616083</v>
      </c>
      <c r="D62" s="1">
        <f>B62-C62</f>
        <v>-223.73443606160822</v>
      </c>
      <c r="E62">
        <f>gamma*(D61-E61)+E61</f>
        <v>-44.558046812326012</v>
      </c>
      <c r="F62">
        <f>gamma*(ABS(D61)-F61)+F61</f>
        <v>265.83909120676509</v>
      </c>
      <c r="G62">
        <f t="shared" ref="G62" si="59">IF(F62=0,0,ABS(E62/F62))</f>
        <v>0.16761284659098358</v>
      </c>
      <c r="H62">
        <f>ABS((B62-C62)/B62)</f>
        <v>0.13029026092569776</v>
      </c>
      <c r="I62">
        <f>(B62-C62)^2</f>
        <v>50057.097879805857</v>
      </c>
    </row>
    <row r="63" spans="1:9" x14ac:dyDescent="0.45">
      <c r="A63" s="1">
        <v>62</v>
      </c>
      <c r="B63" s="1">
        <v>2664.2000000000003</v>
      </c>
      <c r="C63" s="1">
        <f>C62+G62*(B62-C62)</f>
        <v>1903.4336703528936</v>
      </c>
      <c r="D63" s="1">
        <f>B63-C63</f>
        <v>760.76632964710666</v>
      </c>
      <c r="E63">
        <f>gamma*(D62-E62)+E62</f>
        <v>-70.991289999858054</v>
      </c>
      <c r="F63">
        <f>gamma*(ABS(D62)-F62)+F62</f>
        <v>259.62754406351581</v>
      </c>
      <c r="G63">
        <f t="shared" ref="G63" si="60">IF(F63=0,0,ABS(E63/F63))</f>
        <v>0.27343512513637847</v>
      </c>
      <c r="H63">
        <f>ABS((B63-C63)/B63)</f>
        <v>0.28555150876327101</v>
      </c>
      <c r="I63">
        <f>(B63-C63)^2</f>
        <v>578765.40832473012</v>
      </c>
    </row>
    <row r="64" spans="1:9" x14ac:dyDescent="0.45">
      <c r="A64" s="1">
        <v>63</v>
      </c>
      <c r="B64" s="1">
        <v>2063.6000000000004</v>
      </c>
      <c r="C64" s="1">
        <f>C63+G63*(B63-C63)</f>
        <v>2111.4539068994936</v>
      </c>
      <c r="D64" s="1">
        <f>B64-C64</f>
        <v>-47.853906899493268</v>
      </c>
      <c r="E64">
        <f>gamma*(D63-E63)+E63</f>
        <v>51.714896486702585</v>
      </c>
      <c r="F64">
        <f>gamma*(ABS(D63)-F63)+F63</f>
        <v>333.55873246136775</v>
      </c>
      <c r="G64">
        <f t="shared" ref="G64" si="61">IF(F64=0,0,ABS(E64/F64))</f>
        <v>0.15503985191780917</v>
      </c>
      <c r="H64">
        <f>ABS((B64-C64)/B64)</f>
        <v>2.3189526506829452E-2</v>
      </c>
      <c r="I64">
        <f>(B64-C64)^2</f>
        <v>2289.9964055453693</v>
      </c>
    </row>
    <row r="65" spans="1:9" x14ac:dyDescent="0.45">
      <c r="A65" s="1">
        <v>64</v>
      </c>
      <c r="B65" s="1">
        <v>1993.2000000000003</v>
      </c>
      <c r="C65" s="1">
        <f>C64+G64*(B64-C64)</f>
        <v>2104.0346442601076</v>
      </c>
      <c r="D65" s="1">
        <f>B65-C65</f>
        <v>-110.83464426010732</v>
      </c>
      <c r="E65">
        <f>gamma*(D64-E64)+E64</f>
        <v>37.025871862274158</v>
      </c>
      <c r="F65">
        <f>gamma*(ABS(D64)-F64)+F64</f>
        <v>291.40973523260089</v>
      </c>
      <c r="G65">
        <f t="shared" ref="G65" si="62">IF(F65=0,0,ABS(E65/F65))</f>
        <v>0.12705777256453155</v>
      </c>
      <c r="H65">
        <f>ABS((B65-C65)/B65)</f>
        <v>5.5606383835092969E-2</v>
      </c>
      <c r="I65">
        <f>(B65-C65)^2</f>
        <v>12284.318368264541</v>
      </c>
    </row>
    <row r="66" spans="1:9" x14ac:dyDescent="0.45">
      <c r="A66" s="1">
        <v>65</v>
      </c>
      <c r="B66" s="1">
        <v>1870.0000000000002</v>
      </c>
      <c r="C66" s="1">
        <f>C65+G65*(B65-C65)</f>
        <v>2089.9522412374363</v>
      </c>
      <c r="D66" s="1">
        <f>B66-C66</f>
        <v>-219.95224123743606</v>
      </c>
      <c r="E66">
        <f>gamma*(D65-E65)+E65</f>
        <v>15.212545916413966</v>
      </c>
      <c r="F66">
        <f>gamma*(ABS(D65)-F65)+F65</f>
        <v>264.7701466501685</v>
      </c>
      <c r="G66">
        <f t="shared" ref="G66" si="63">IF(F66=0,0,ABS(E66/F66))</f>
        <v>5.7455669035504101E-2</v>
      </c>
      <c r="H66">
        <f>ABS((B66-C66)/B66)</f>
        <v>0.11762151937830803</v>
      </c>
      <c r="I66">
        <f>(B66-C66)^2</f>
        <v>48378.988425371266</v>
      </c>
    </row>
    <row r="67" spans="1:9" x14ac:dyDescent="0.45">
      <c r="A67" s="1">
        <v>66</v>
      </c>
      <c r="B67" s="1">
        <v>2328</v>
      </c>
      <c r="C67" s="1">
        <f>C66+G66*(B66-C66)</f>
        <v>2077.3147380612809</v>
      </c>
      <c r="D67" s="1">
        <f>B67-C67</f>
        <v>250.68526193871912</v>
      </c>
      <c r="E67">
        <f>gamma*(D66-E66)+E66</f>
        <v>-19.480462654785562</v>
      </c>
      <c r="F67">
        <f>gamma*(ABS(D66)-F66)+F66</f>
        <v>258.15832353053662</v>
      </c>
      <c r="G67">
        <f t="shared" ref="G67" si="64">IF(F67=0,0,ABS(E67/F67))</f>
        <v>7.545936303107921E-2</v>
      </c>
      <c r="H67">
        <f>ABS((B67-C67)/B67)</f>
        <v>0.10768267265408897</v>
      </c>
      <c r="I67">
        <f>(B67-C67)^2</f>
        <v>62843.100553284217</v>
      </c>
    </row>
    <row r="68" spans="1:9" x14ac:dyDescent="0.45">
      <c r="A68" s="1">
        <v>67</v>
      </c>
      <c r="B68" s="1">
        <v>1825.2</v>
      </c>
      <c r="C68" s="1">
        <f>C67+G67*(B67-C67)</f>
        <v>2096.2312882484557</v>
      </c>
      <c r="D68" s="1">
        <f>B68-C68</f>
        <v>-271.03128824845567</v>
      </c>
      <c r="E68">
        <f>gamma*(D67-E67)+E67</f>
        <v>20.376107337705939</v>
      </c>
      <c r="F68">
        <f>gamma*(ABS(D67)-F67)+F67</f>
        <v>257.05584984391101</v>
      </c>
      <c r="G68">
        <f t="shared" ref="G68" si="65">IF(F68=0,0,ABS(E68/F68))</f>
        <v>7.9267238423395864E-2</v>
      </c>
      <c r="H68">
        <f>ABS((B68-C68)/B68)</f>
        <v>0.14849402161322356</v>
      </c>
      <c r="I68">
        <f>(B68-C68)^2</f>
        <v>73457.95920961746</v>
      </c>
    </row>
    <row r="69" spans="1:9" x14ac:dyDescent="0.45">
      <c r="A69" s="1">
        <v>68</v>
      </c>
      <c r="B69" s="1">
        <v>2660.4</v>
      </c>
      <c r="C69" s="1">
        <f>C68+G68*(B68-C68)</f>
        <v>2074.7473865026654</v>
      </c>
      <c r="D69" s="1">
        <f>B69-C69</f>
        <v>585.65261349733464</v>
      </c>
      <c r="E69">
        <f>gamma*(D68-E68)+E68</f>
        <v>-22.614169374800262</v>
      </c>
      <c r="F69">
        <f>gamma*(ABS(D68)-F68)+F68</f>
        <v>259.11759561045699</v>
      </c>
      <c r="G69">
        <f t="shared" ref="G69" si="66">IF(F69=0,0,ABS(E69/F69))</f>
        <v>8.7273769739655768E-2</v>
      </c>
      <c r="H69">
        <f>ABS((B69-C69)/B69)</f>
        <v>0.22013705213401541</v>
      </c>
      <c r="I69">
        <f>(B69-C69)^2</f>
        <v>342988.98369625845</v>
      </c>
    </row>
    <row r="70" spans="1:9" x14ac:dyDescent="0.45">
      <c r="A70" s="1">
        <v>69</v>
      </c>
      <c r="B70" s="1">
        <v>2955.6</v>
      </c>
      <c r="C70" s="1">
        <f>C69+G69*(B69-C69)</f>
        <v>2125.8594978404594</v>
      </c>
      <c r="D70" s="1">
        <f>B70-C70</f>
        <v>829.74050215954048</v>
      </c>
      <c r="E70">
        <f>gamma*(D69-E69)+E69</f>
        <v>67.121224121646748</v>
      </c>
      <c r="F70">
        <f>gamma*(ABS(D69)-F69)+F69</f>
        <v>307.29012310257207</v>
      </c>
      <c r="G70">
        <f t="shared" ref="G70" si="67">IF(F70=0,0,ABS(E70/F70))</f>
        <v>0.21842948756033392</v>
      </c>
      <c r="H70">
        <f>ABS((B70-C70)/B70)</f>
        <v>0.28073504606832472</v>
      </c>
      <c r="I70">
        <f>(B70-C70)^2</f>
        <v>688469.30092396645</v>
      </c>
    </row>
    <row r="71" spans="1:9" x14ac:dyDescent="0.45">
      <c r="A71" s="1">
        <v>70</v>
      </c>
      <c r="B71" s="1">
        <v>2642.4</v>
      </c>
      <c r="C71" s="1">
        <f>C70+G70*(B70-C70)</f>
        <v>2307.0992905352218</v>
      </c>
      <c r="D71" s="1">
        <f>B71-C71</f>
        <v>335.30070946477827</v>
      </c>
      <c r="E71">
        <f>gamma*(D70-E70)+E70</f>
        <v>179.62768169865433</v>
      </c>
      <c r="F71">
        <f>gamma*(ABS(D70)-F70)+F70</f>
        <v>384.36533363054889</v>
      </c>
      <c r="G71">
        <f t="shared" ref="G71" si="68">IF(F71=0,0,ABS(E71/F71))</f>
        <v>0.46733580263851804</v>
      </c>
      <c r="H71">
        <f>ABS((B71-C71)/B71)</f>
        <v>0.12689248768724579</v>
      </c>
      <c r="I71">
        <f>(B71-C71)^2</f>
        <v>112426.56576758364</v>
      </c>
    </row>
    <row r="72" spans="1:9" x14ac:dyDescent="0.45">
      <c r="A72" s="1">
        <v>71</v>
      </c>
      <c r="B72" s="1">
        <v>2485.1999999999998</v>
      </c>
      <c r="C72" s="1">
        <f>C71+G71*(B71-C71)</f>
        <v>2463.7973167182085</v>
      </c>
      <c r="D72" s="1">
        <f>B72-C72</f>
        <v>21.402683281791269</v>
      </c>
      <c r="E72">
        <f>gamma*(D71-E71)+E71</f>
        <v>202.59355916678658</v>
      </c>
      <c r="F72">
        <f>gamma*(ABS(D71)-F71)+F71</f>
        <v>377.12700748773165</v>
      </c>
      <c r="G72">
        <f t="shared" ref="G72" si="69">IF(F72=0,0,ABS(E72/F72))</f>
        <v>0.53720246798653681</v>
      </c>
      <c r="H72">
        <f>ABS((B72-C72)/B72)</f>
        <v>8.6120566883113106E-3</v>
      </c>
      <c r="I72">
        <f>(B72-C72)^2</f>
        <v>458.07485166066749</v>
      </c>
    </row>
    <row r="73" spans="1:9" x14ac:dyDescent="0.45">
      <c r="A73" s="1">
        <v>72</v>
      </c>
      <c r="B73" s="1">
        <v>2701.2</v>
      </c>
      <c r="C73" s="1">
        <f>C72+G72*(B72-C72)</f>
        <v>2475.2948909987208</v>
      </c>
      <c r="D73" s="1">
        <f>B73-C73</f>
        <v>225.90510900127902</v>
      </c>
      <c r="E73">
        <f>gamma*(D72-E72)+E72</f>
        <v>175.86312606844683</v>
      </c>
      <c r="F73">
        <f>gamma*(ABS(D72)-F72)+F72</f>
        <v>324.64828744625282</v>
      </c>
      <c r="G73">
        <f t="shared" ref="G73" si="70">IF(F73=0,0,ABS(E73/F73))</f>
        <v>0.54170353847180497</v>
      </c>
      <c r="H73">
        <f>ABS((B73-C73)/B73)</f>
        <v>8.363138938297017E-2</v>
      </c>
      <c r="I73">
        <f>(B73-C73)^2</f>
        <v>51033.11827287975</v>
      </c>
    </row>
    <row r="74" spans="1:9" x14ac:dyDescent="0.45">
      <c r="A74" s="1">
        <v>73</v>
      </c>
      <c r="B74" s="1">
        <v>2676</v>
      </c>
      <c r="C74" s="1">
        <f>C73+G73*(B73-C73)</f>
        <v>2597.6684879035724</v>
      </c>
      <c r="D74" s="1">
        <f>B74-C74</f>
        <v>78.331512096427559</v>
      </c>
      <c r="E74">
        <f>gamma*(D73-E73)+E73</f>
        <v>183.24563840722129</v>
      </c>
      <c r="F74">
        <f>gamma*(ABS(D73)-F73)+F73</f>
        <v>310.08106427649403</v>
      </c>
      <c r="G74">
        <f t="shared" ref="G74" si="71">IF(F74=0,0,ABS(E74/F74))</f>
        <v>0.59096042783129854</v>
      </c>
      <c r="H74">
        <f>ABS((B74-C74)/B74)</f>
        <v>2.9271865506886232E-2</v>
      </c>
      <c r="I74">
        <f>(B74-C74)^2</f>
        <v>6135.8257873127768</v>
      </c>
    </row>
    <row r="75" spans="1:9" x14ac:dyDescent="0.45">
      <c r="A75" s="1">
        <v>74</v>
      </c>
      <c r="B75" s="1">
        <v>2470.7999999999997</v>
      </c>
      <c r="C75" s="1">
        <f>C74+G74*(B74-C74)</f>
        <v>2643.9593118047496</v>
      </c>
      <c r="D75" s="1">
        <f>B75-C75</f>
        <v>-173.1593118047499</v>
      </c>
      <c r="E75">
        <f>gamma*(D74-E74)+E74</f>
        <v>167.76803766864197</v>
      </c>
      <c r="F75">
        <f>gamma*(ABS(D74)-F74)+F74</f>
        <v>275.8918929406737</v>
      </c>
      <c r="G75">
        <f t="shared" ref="G75" si="72">IF(F75=0,0,ABS(E75/F75))</f>
        <v>0.60809339441053423</v>
      </c>
      <c r="H75">
        <f>ABS((B75-C75)/B75)</f>
        <v>7.0082285820280851E-2</v>
      </c>
      <c r="I75">
        <f>(B75-C75)^2</f>
        <v>29984.147264694599</v>
      </c>
    </row>
    <row r="76" spans="1:9" x14ac:dyDescent="0.45">
      <c r="A76" s="1">
        <v>75</v>
      </c>
      <c r="B76" s="1">
        <v>2274</v>
      </c>
      <c r="C76" s="1">
        <f>C75+G75*(B75-C75)</f>
        <v>2538.662278115607</v>
      </c>
      <c r="D76" s="1">
        <f>B76-C76</f>
        <v>-264.66227811560702</v>
      </c>
      <c r="E76">
        <f>gamma*(D75-E75)+E75</f>
        <v>117.472261670092</v>
      </c>
      <c r="F76">
        <f>gamma*(ABS(D75)-F75)+F75</f>
        <v>260.73612765359292</v>
      </c>
      <c r="G76">
        <f t="shared" ref="G76" si="73">IF(F76=0,0,ABS(E76/F76))</f>
        <v>0.4505407928208649</v>
      </c>
      <c r="H76">
        <f>ABS((B76-C76)/B76)</f>
        <v>0.1163862260842599</v>
      </c>
      <c r="I76">
        <f>(B76-C76)^2</f>
        <v>70046.121457342917</v>
      </c>
    </row>
    <row r="77" spans="1:9" x14ac:dyDescent="0.45">
      <c r="A77" s="1">
        <v>76</v>
      </c>
      <c r="B77" s="1">
        <v>2916</v>
      </c>
      <c r="C77" s="1">
        <f>C76+G76*(B76-C76)</f>
        <v>2419.4211255036253</v>
      </c>
      <c r="D77" s="1">
        <f>B77-C77</f>
        <v>496.57887449637474</v>
      </c>
      <c r="E77">
        <f>gamma*(D76-E76)+E76</f>
        <v>61.097338261752981</v>
      </c>
      <c r="F77">
        <f>gamma*(ABS(D76)-F76)+F76</f>
        <v>261.31533839887072</v>
      </c>
      <c r="G77">
        <f t="shared" ref="G77" si="74">IF(F77=0,0,ABS(E77/F77))</f>
        <v>0.23380693470237188</v>
      </c>
      <c r="H77">
        <f>ABS((B77-C77)/B77)</f>
        <v>0.17029453857900367</v>
      </c>
      <c r="I77">
        <f>(B77-C77)^2</f>
        <v>246590.5785960863</v>
      </c>
    </row>
    <row r="78" spans="1:9" x14ac:dyDescent="0.45">
      <c r="A78" s="1">
        <v>77</v>
      </c>
      <c r="B78" s="1">
        <v>2569.1999999999998</v>
      </c>
      <c r="C78" s="1">
        <f>C77+G77*(B77-C77)</f>
        <v>2535.5247099875764</v>
      </c>
      <c r="D78" s="1">
        <f>B78-C78</f>
        <v>33.675290012423375</v>
      </c>
      <c r="E78">
        <f>gamma*(D77-E77)+E77</f>
        <v>125.34235067214746</v>
      </c>
      <c r="F78">
        <f>gamma*(ABS(D77)-F77)+F77</f>
        <v>296.02291504376041</v>
      </c>
      <c r="G78">
        <f t="shared" ref="G78" si="75">IF(F78=0,0,ABS(E78/F78))</f>
        <v>0.42342110796935561</v>
      </c>
      <c r="H78">
        <f>ABS((B78-C78)/B78)</f>
        <v>1.3107305780952584E-2</v>
      </c>
      <c r="I78">
        <f>(B78-C78)^2</f>
        <v>1134.0251574208214</v>
      </c>
    </row>
    <row r="79" spans="1:9" x14ac:dyDescent="0.45">
      <c r="A79" s="1">
        <v>78</v>
      </c>
      <c r="B79" s="1">
        <v>2727.6</v>
      </c>
      <c r="C79" s="1">
        <f>C78+G78*(B78-C78)</f>
        <v>2549.783538595826</v>
      </c>
      <c r="D79" s="1">
        <f>B79-C79</f>
        <v>177.81646140417388</v>
      </c>
      <c r="E79">
        <f>gamma*(D78-E78)+E78</f>
        <v>111.81904150816148</v>
      </c>
      <c r="F79">
        <f>gamma*(ABS(D78)-F78)+F78</f>
        <v>257.31972093888987</v>
      </c>
      <c r="G79">
        <f t="shared" ref="G79" si="76">IF(F79=0,0,ABS(E79/F79))</f>
        <v>0.43455294098782682</v>
      </c>
      <c r="H79">
        <f>ABS((B79-C79)/B79)</f>
        <v>6.519154619598691E-2</v>
      </c>
      <c r="I79">
        <f>(B79-C79)^2</f>
        <v>31618.693946302057</v>
      </c>
    </row>
    <row r="80" spans="1:9" x14ac:dyDescent="0.45">
      <c r="A80" s="1">
        <v>79</v>
      </c>
      <c r="B80" s="1">
        <v>2744.4</v>
      </c>
      <c r="C80" s="1">
        <f>C79+G79*(B79-C79)</f>
        <v>2627.0542048550583</v>
      </c>
      <c r="D80" s="1">
        <f>B80-C80</f>
        <v>117.3457951449418</v>
      </c>
      <c r="E80">
        <f>gamma*(D79-E79)+E79</f>
        <v>121.55540162329841</v>
      </c>
      <c r="F80">
        <f>gamma*(ABS(D79)-F79)+F79</f>
        <v>245.59089326082545</v>
      </c>
      <c r="G80">
        <f t="shared" ref="G80" si="77">IF(F80=0,0,ABS(E80/F80))</f>
        <v>0.49495076958819745</v>
      </c>
      <c r="H80">
        <f>ABS((B80-C80)/B80)</f>
        <v>4.2758269619932156E-2</v>
      </c>
      <c r="I80">
        <f>(B80-C80)^2</f>
        <v>13770.035638198648</v>
      </c>
    </row>
    <row r="81" spans="1:9" x14ac:dyDescent="0.45">
      <c r="A81" s="1">
        <v>80</v>
      </c>
      <c r="B81" s="1">
        <v>2062.7999999999997</v>
      </c>
      <c r="C81" s="1">
        <f>C80+G80*(B80-C80)</f>
        <v>2685.1345964699863</v>
      </c>
      <c r="D81" s="1">
        <f>B81-C81</f>
        <v>-622.33459646998654</v>
      </c>
      <c r="E81">
        <f>gamma*(D80-E80)+E80</f>
        <v>120.934373639464</v>
      </c>
      <c r="F81">
        <f>gamma*(ABS(D80)-F80)+F80</f>
        <v>226.67135882713532</v>
      </c>
      <c r="G81">
        <f t="shared" ref="G81" si="78">IF(F81=0,0,ABS(E81/F81))</f>
        <v>0.53352295704765806</v>
      </c>
      <c r="H81">
        <f>ABS((B81-C81)/B81)</f>
        <v>0.30169410338859154</v>
      </c>
      <c r="I81">
        <f>(B81-C81)^2</f>
        <v>387300.34996346099</v>
      </c>
    </row>
    <row r="82" spans="1:9" x14ac:dyDescent="0.45">
      <c r="A82" s="1">
        <v>81</v>
      </c>
      <c r="B82" s="1">
        <v>2218.7999999999997</v>
      </c>
      <c r="C82" s="1">
        <f>C81+G81*(B81-C81)</f>
        <v>2353.1048022882578</v>
      </c>
      <c r="D82" s="1">
        <f>B82-C82</f>
        <v>-134.30480228825809</v>
      </c>
      <c r="E82">
        <f>gamma*(D81-E81)+E81</f>
        <v>11.282596845841056</v>
      </c>
      <c r="F82">
        <f>gamma*(ABS(D81)-F81)+F81</f>
        <v>285.04212198850797</v>
      </c>
      <c r="G82">
        <f t="shared" ref="G82" si="79">IF(F82=0,0,ABS(E82/F82))</f>
        <v>3.9582208998205311E-2</v>
      </c>
      <c r="H82">
        <f>ABS((B82-C82)/B82)</f>
        <v>6.0530377811545931E-2</v>
      </c>
      <c r="I82">
        <f>(B82-C82)^2</f>
        <v>18037.779917688094</v>
      </c>
    </row>
    <row r="83" spans="1:9" x14ac:dyDescent="0.45">
      <c r="A83" s="1">
        <v>82</v>
      </c>
      <c r="B83" s="1">
        <v>2696.4</v>
      </c>
      <c r="C83" s="1">
        <f>C82+G82*(B82-C82)</f>
        <v>2347.7887215346213</v>
      </c>
      <c r="D83" s="1">
        <f>B83-C83</f>
        <v>348.61127846537875</v>
      </c>
      <c r="E83">
        <f>gamma*(D82-E82)+E82</f>
        <v>-10.195384390837717</v>
      </c>
      <c r="F83">
        <f>gamma*(ABS(D82)-F82)+F82</f>
        <v>262.80439163928213</v>
      </c>
      <c r="G83">
        <f t="shared" ref="G83" si="80">IF(F83=0,0,ABS(E83/F83))</f>
        <v>3.8794573892934073E-2</v>
      </c>
      <c r="H83">
        <f>ABS((B83-C83)/B83)</f>
        <v>0.12928767188302134</v>
      </c>
      <c r="I83">
        <f>(B83-C83)^2</f>
        <v>121529.82347326585</v>
      </c>
    </row>
    <row r="84" spans="1:9" x14ac:dyDescent="0.45">
      <c r="A84" s="1">
        <v>83</v>
      </c>
      <c r="B84" s="1">
        <v>2526</v>
      </c>
      <c r="C84" s="1">
        <f>C83+G83*(B83-C83)</f>
        <v>2361.3129475369565</v>
      </c>
      <c r="D84" s="1">
        <f>B84-C84</f>
        <v>164.68705246304353</v>
      </c>
      <c r="E84">
        <f>gamma*(D83-E83)+E83</f>
        <v>42.738061898169846</v>
      </c>
      <c r="F84">
        <f>gamma*(ABS(D83)-F83)+F83</f>
        <v>275.46317060085414</v>
      </c>
      <c r="G84">
        <f t="shared" ref="G84" si="81">IF(F84=0,0,ABS(E84/F84))</f>
        <v>0.15514982204316982</v>
      </c>
      <c r="H84">
        <f>ABS((B84-C84)/B84)</f>
        <v>6.5196774530104321E-2</v>
      </c>
      <c r="I84">
        <f>(B84-C84)^2</f>
        <v>27121.825248965251</v>
      </c>
    </row>
    <row r="85" spans="1:9" x14ac:dyDescent="0.45">
      <c r="A85" s="1">
        <v>84</v>
      </c>
      <c r="B85" s="1">
        <v>2016</v>
      </c>
      <c r="C85" s="1">
        <f>C84+G84*(B84-C84)</f>
        <v>2386.8641144194116</v>
      </c>
      <c r="D85" s="1">
        <f>B85-C85</f>
        <v>-370.86411441941164</v>
      </c>
      <c r="E85">
        <f>gamma*(D84-E84)+E84</f>
        <v>60.728754408390031</v>
      </c>
      <c r="F85">
        <f>gamma*(ABS(D84)-F84)+F84</f>
        <v>259.12077145788641</v>
      </c>
      <c r="G85">
        <f t="shared" ref="G85" si="82">IF(F85=0,0,ABS(E85/F85))</f>
        <v>0.23436467121764482</v>
      </c>
      <c r="H85">
        <f>ABS((B85-C85)/B85)</f>
        <v>0.183960374215978</v>
      </c>
      <c r="I85">
        <f>(B85-C85)^2</f>
        <v>137540.19136409444</v>
      </c>
    </row>
    <row r="86" spans="1:9" x14ac:dyDescent="0.45">
      <c r="A86" s="1">
        <v>85</v>
      </c>
      <c r="B86" s="1">
        <v>2952</v>
      </c>
      <c r="C86" s="1">
        <f>C85+G85*(B85-C85)</f>
        <v>2299.9466681770832</v>
      </c>
      <c r="D86" s="1">
        <f>B86-C86</f>
        <v>652.05333182291679</v>
      </c>
      <c r="E86">
        <f>gamma*(D85-E85)+E85</f>
        <v>-2.9425769959825132</v>
      </c>
      <c r="F86">
        <f>gamma*(ABS(D85)-F85)+F85</f>
        <v>275.60586177288519</v>
      </c>
      <c r="G86">
        <f t="shared" ref="G86" si="83">IF(F86=0,0,ABS(E86/F86))</f>
        <v>1.0676757660573138E-2</v>
      </c>
      <c r="H86">
        <f>ABS((B86-C86)/B86)</f>
        <v>0.22088527500776314</v>
      </c>
      <c r="I86">
        <f>(B86-C86)^2</f>
        <v>425173.54754136683</v>
      </c>
    </row>
    <row r="87" spans="1:9" x14ac:dyDescent="0.45">
      <c r="A87" s="1">
        <v>86</v>
      </c>
      <c r="B87" s="1">
        <v>2457.6</v>
      </c>
      <c r="C87" s="1">
        <f>C86+G86*(B86-C86)</f>
        <v>2306.9084835827257</v>
      </c>
      <c r="D87" s="1">
        <f>B87-C87</f>
        <v>150.69151641727422</v>
      </c>
      <c r="E87">
        <f>gamma*(D86-E86)+E86</f>
        <v>93.686595057264981</v>
      </c>
      <c r="F87">
        <f>gamma*(ABS(D86)-F86)+F86</f>
        <v>331.14179239887608</v>
      </c>
      <c r="G87">
        <f t="shared" ref="G87" si="84">IF(F87=0,0,ABS(E87/F87))</f>
        <v>0.28291987664430773</v>
      </c>
      <c r="H87">
        <f>ABS((B87-C87)/B87)</f>
        <v>6.1316535000518479E-2</v>
      </c>
      <c r="I87">
        <f>(B87-C87)^2</f>
        <v>22707.933120137623</v>
      </c>
    </row>
    <row r="88" spans="1:9" x14ac:dyDescent="0.45">
      <c r="A88" s="1">
        <v>87</v>
      </c>
      <c r="B88" s="1">
        <v>2907.6</v>
      </c>
      <c r="C88" s="1">
        <f>C87+G87*(B87-C87)</f>
        <v>2349.5421088188446</v>
      </c>
      <c r="D88" s="1">
        <f>B88-C88</f>
        <v>558.05789118115536</v>
      </c>
      <c r="E88">
        <f>gamma*(D87-E87)+E87</f>
        <v>102.09632446139349</v>
      </c>
      <c r="F88">
        <f>gamma*(ABS(D87)-F87)+F87</f>
        <v>304.52061731959276</v>
      </c>
      <c r="G88">
        <f t="shared" ref="G88" si="85">IF(F88=0,0,ABS(E88/F88))</f>
        <v>0.33526900529773968</v>
      </c>
      <c r="H88">
        <f>ABS((B88-C88)/B88)</f>
        <v>0.19193076461038497</v>
      </c>
      <c r="I88">
        <f>(B88-C88)^2</f>
        <v>311428.6099095582</v>
      </c>
    </row>
    <row r="89" spans="1:9" x14ac:dyDescent="0.45">
      <c r="A89" s="1">
        <v>88</v>
      </c>
      <c r="B89" s="1">
        <v>1694.0000000000002</v>
      </c>
      <c r="C89" s="1">
        <f>C88+G88*(B88-C88)</f>
        <v>2536.6416228937046</v>
      </c>
      <c r="D89" s="1">
        <f>B89-C89</f>
        <v>-842.64162289370438</v>
      </c>
      <c r="E89">
        <f>gamma*(D88-E88)+E88</f>
        <v>169.36268152869258</v>
      </c>
      <c r="F89">
        <f>gamma*(ABS(D88)-F88)+F88</f>
        <v>341.9240522541063</v>
      </c>
      <c r="G89">
        <f t="shared" ref="G89" si="86">IF(F89=0,0,ABS(E89/F89))</f>
        <v>0.49532251507954173</v>
      </c>
      <c r="H89">
        <f>ABS((B89-C89)/B89)</f>
        <v>0.49742716817810168</v>
      </c>
      <c r="I89">
        <f>(B89-C89)^2</f>
        <v>710044.90463293588</v>
      </c>
    </row>
    <row r="90" spans="1:9" x14ac:dyDescent="0.45">
      <c r="A90" s="1">
        <v>89</v>
      </c>
      <c r="B90" s="1">
        <v>2560.8000000000002</v>
      </c>
      <c r="C90" s="1">
        <f>C89+G89*(B89-C89)</f>
        <v>2119.2622549312882</v>
      </c>
      <c r="D90" s="1">
        <f>B90-C90</f>
        <v>441.53774506871196</v>
      </c>
      <c r="E90">
        <f>gamma*(D89-E89)+E89</f>
        <v>20.06535503547218</v>
      </c>
      <c r="F90">
        <f>gamma*(ABS(D89)-F89)+F89</f>
        <v>415.79310033818456</v>
      </c>
      <c r="G90">
        <f t="shared" ref="G90" si="87">IF(F90=0,0,ABS(E90/F90))</f>
        <v>4.8258027896932537E-2</v>
      </c>
      <c r="H90">
        <f>ABS((B90-C90)/B90)</f>
        <v>0.17242179985501091</v>
      </c>
      <c r="I90">
        <f>(B90-C90)^2</f>
        <v>194955.58032036287</v>
      </c>
    </row>
    <row r="91" spans="1:9" x14ac:dyDescent="0.45">
      <c r="A91" s="1">
        <v>90</v>
      </c>
      <c r="B91" s="1">
        <v>1687.4</v>
      </c>
      <c r="C91" s="1">
        <f>C90+G90*(B90-C90)</f>
        <v>2140.569995750363</v>
      </c>
      <c r="D91" s="1">
        <f>B91-C91</f>
        <v>-453.16999575036289</v>
      </c>
      <c r="E91">
        <f>gamma*(D90-E90)+E90</f>
        <v>82.243648890244771</v>
      </c>
      <c r="F91">
        <f>gamma*(ABS(D90)-F90)+F90</f>
        <v>419.59111445036689</v>
      </c>
      <c r="G91">
        <f t="shared" ref="G91" si="88">IF(F91=0,0,ABS(E91/F91))</f>
        <v>0.19600903369457151</v>
      </c>
      <c r="H91">
        <f>ABS((B91-C91)/B91)</f>
        <v>0.26856109739857936</v>
      </c>
      <c r="I91">
        <f>(B91-C91)^2</f>
        <v>205363.04504838391</v>
      </c>
    </row>
    <row r="92" spans="1:9" x14ac:dyDescent="0.45">
      <c r="A92" s="1">
        <v>91</v>
      </c>
      <c r="B92" s="1">
        <v>1772.1000000000001</v>
      </c>
      <c r="C92" s="1">
        <f>C91+G91*(B91-C91)</f>
        <v>2051.7445827839611</v>
      </c>
      <c r="D92" s="1">
        <f>B92-C92</f>
        <v>-279.64458278396091</v>
      </c>
      <c r="E92">
        <f>gamma*(D91-E91)+E91</f>
        <v>3.2560147828410493</v>
      </c>
      <c r="F92">
        <f>gamma*(ABS(D91)-F91)+F91</f>
        <v>424.54488508436032</v>
      </c>
      <c r="G92">
        <f t="shared" ref="G92" si="89">IF(F92=0,0,ABS(E92/F92))</f>
        <v>7.669424122714502E-3</v>
      </c>
      <c r="H92">
        <f>ABS((B92-C92)/B92)</f>
        <v>0.15780406454712539</v>
      </c>
      <c r="I92">
        <f>(B92-C92)^2</f>
        <v>78201.092680415575</v>
      </c>
    </row>
    <row r="93" spans="1:9" x14ac:dyDescent="0.45">
      <c r="A93" s="1">
        <v>92</v>
      </c>
      <c r="B93" s="1">
        <v>1855</v>
      </c>
      <c r="C93" s="1">
        <f>C92+G92*(B92-C92)</f>
        <v>2049.5998698749713</v>
      </c>
      <c r="D93" s="1">
        <f>B93-C93</f>
        <v>-194.59986987497132</v>
      </c>
      <c r="E93">
        <f>gamma*(D92-E92)+E92</f>
        <v>-38.479284855201911</v>
      </c>
      <c r="F93">
        <f>gamma*(ABS(D92)-F92)+F92</f>
        <v>403.16826875281589</v>
      </c>
      <c r="G93">
        <f t="shared" ref="G93" si="90">IF(F93=0,0,ABS(E93/F93))</f>
        <v>9.5442245428282252E-2</v>
      </c>
      <c r="H93">
        <f>ABS((B93-C93)/B93)</f>
        <v>0.10490559022909506</v>
      </c>
      <c r="I93">
        <f>(B93-C93)^2</f>
        <v>37869.109355355773</v>
      </c>
    </row>
    <row r="94" spans="1:9" x14ac:dyDescent="0.45">
      <c r="A94" s="1">
        <v>93</v>
      </c>
      <c r="B94" s="1">
        <v>2068</v>
      </c>
      <c r="C94" s="1">
        <f>C93+G93*(B93-C93)</f>
        <v>2031.0268213340526</v>
      </c>
      <c r="D94" s="1">
        <f>B94-C94</f>
        <v>36.973178665947444</v>
      </c>
      <c r="E94">
        <f>gamma*(D93-E93)+E93</f>
        <v>-61.511188822559433</v>
      </c>
      <c r="F94">
        <f>gamma*(ABS(D93)-F93)+F93</f>
        <v>372.39892893147368</v>
      </c>
      <c r="G94">
        <f t="shared" ref="G94" si="91">IF(F94=0,0,ABS(E94/F94))</f>
        <v>0.1651755256092004</v>
      </c>
      <c r="H94">
        <f>ABS((B94-C94)/B94)</f>
        <v>1.7878713087982324E-2</v>
      </c>
      <c r="I94">
        <f>(B94-C94)^2</f>
        <v>1367.0159406640712</v>
      </c>
    </row>
    <row r="95" spans="1:9" x14ac:dyDescent="0.45">
      <c r="A95" s="1">
        <v>94</v>
      </c>
      <c r="B95" s="1">
        <v>2169.9</v>
      </c>
      <c r="C95" s="1">
        <f>C94+G94*(B94-C94)</f>
        <v>2037.1338855536433</v>
      </c>
      <c r="D95" s="1">
        <f>B95-C95</f>
        <v>132.76611444635682</v>
      </c>
      <c r="E95">
        <f>gamma*(D94-E94)+E94</f>
        <v>-46.982147095012699</v>
      </c>
      <c r="F95">
        <f>gamma*(ABS(D94)-F94)+F94</f>
        <v>322.91478392064005</v>
      </c>
      <c r="G95">
        <f t="shared" ref="G95" si="92">IF(F95=0,0,ABS(E95/F95))</f>
        <v>0.14549394897496887</v>
      </c>
      <c r="H95">
        <f>ABS((B95-C95)/B95)</f>
        <v>6.1185360821400442E-2</v>
      </c>
      <c r="I95">
        <f>(B95-C95)^2</f>
        <v>17626.84114518312</v>
      </c>
    </row>
    <row r="96" spans="1:9" x14ac:dyDescent="0.45">
      <c r="A96" s="1">
        <v>95</v>
      </c>
      <c r="B96" s="1">
        <v>1863.9</v>
      </c>
      <c r="C96" s="1">
        <f>C95+G95*(B95-C95)</f>
        <v>2056.4505518345063</v>
      </c>
      <c r="D96" s="1">
        <f>B96-C96</f>
        <v>-192.55055183450622</v>
      </c>
      <c r="E96">
        <f>gamma*(D95-E95)+E95</f>
        <v>-20.464537661278847</v>
      </c>
      <c r="F96">
        <f>gamma*(ABS(D95)-F95)+F95</f>
        <v>294.86284000627461</v>
      </c>
      <c r="G96">
        <f t="shared" ref="G96" si="93">IF(F96=0,0,ABS(E96/F96))</f>
        <v>6.9403583241765446E-2</v>
      </c>
      <c r="H96">
        <f>ABS((B96-C96)/B96)</f>
        <v>0.10330519439589367</v>
      </c>
      <c r="I96">
        <f>(B96-C96)^2</f>
        <v>37075.715011772867</v>
      </c>
    </row>
    <row r="97" spans="1:9" x14ac:dyDescent="0.45">
      <c r="A97" s="1">
        <v>96</v>
      </c>
      <c r="B97" s="1">
        <v>1507.5</v>
      </c>
      <c r="C97" s="1">
        <f>C96+G96*(B96-C96)</f>
        <v>2043.0868535820123</v>
      </c>
      <c r="D97" s="1">
        <f>B97-C97</f>
        <v>-535.58685358201228</v>
      </c>
      <c r="E97">
        <f>gamma*(D96-E96)+E96</f>
        <v>-45.8517635166086</v>
      </c>
      <c r="F97">
        <f>gamma*(ABS(D96)-F96)+F96</f>
        <v>279.76907901662429</v>
      </c>
      <c r="G97">
        <f t="shared" ref="G97" si="94">IF(F97=0,0,ABS(E97/F97))</f>
        <v>0.1638914624796117</v>
      </c>
      <c r="H97">
        <f>ABS((B97-C97)/B97)</f>
        <v>0.35528149491344097</v>
      </c>
      <c r="I97">
        <f>(B97-C97)^2</f>
        <v>286853.27772987989</v>
      </c>
    </row>
    <row r="98" spans="1:9" x14ac:dyDescent="0.45">
      <c r="A98" s="1">
        <v>97</v>
      </c>
      <c r="B98" s="1">
        <v>1621.8</v>
      </c>
      <c r="C98" s="1">
        <f>C97+G97*(B97-C97)</f>
        <v>1955.3087408636027</v>
      </c>
      <c r="D98" s="1">
        <f>B98-C98</f>
        <v>-333.50874086360272</v>
      </c>
      <c r="E98">
        <f>gamma*(D97-E97)+E97</f>
        <v>-118.10060605331346</v>
      </c>
      <c r="F98">
        <f>gamma*(ABS(D97)-F97)+F97</f>
        <v>317.50894795310717</v>
      </c>
      <c r="G98">
        <f t="shared" ref="G98" si="95">IF(F98=0,0,ABS(E98/F98))</f>
        <v>0.37195992999465233</v>
      </c>
      <c r="H98">
        <f>ABS((B98-C98)/B98)</f>
        <v>0.20564110301122379</v>
      </c>
      <c r="I98">
        <f>(B98-C98)^2</f>
        <v>111228.08023242571</v>
      </c>
    </row>
    <row r="99" spans="1:9" x14ac:dyDescent="0.45">
      <c r="A99" s="1">
        <v>98</v>
      </c>
      <c r="B99" s="1">
        <v>1635.3</v>
      </c>
      <c r="C99" s="1">
        <f>C98+G98*(B98-C98)</f>
        <v>1831.2568529593723</v>
      </c>
      <c r="D99" s="1">
        <f>B99-C99</f>
        <v>-195.95685295937233</v>
      </c>
      <c r="E99">
        <f>gamma*(D98-E98)+E98</f>
        <v>-149.87898732257366</v>
      </c>
      <c r="F99">
        <f>gamma*(ABS(D98)-F98)+F98</f>
        <v>319.86933940158576</v>
      </c>
      <c r="G99">
        <f t="shared" ref="G99" si="96">IF(F99=0,0,ABS(E99/F99))</f>
        <v>0.46856315645309593</v>
      </c>
      <c r="H99">
        <f>ABS((B99-C99)/B99)</f>
        <v>0.11982929918630975</v>
      </c>
      <c r="I99">
        <f>(B99-C99)^2</f>
        <v>38399.088221741069</v>
      </c>
    </row>
    <row r="100" spans="1:9" x14ac:dyDescent="0.45">
      <c r="A100" s="1">
        <v>99</v>
      </c>
      <c r="B100" s="1">
        <v>1503</v>
      </c>
      <c r="C100" s="1">
        <f>C99+G99*(B99-C99)</f>
        <v>1739.4386914081135</v>
      </c>
      <c r="D100" s="1">
        <f>B100-C100</f>
        <v>-236.43869140811353</v>
      </c>
      <c r="E100">
        <f>gamma*(D99-E99)+E99</f>
        <v>-156.67668780667807</v>
      </c>
      <c r="F100">
        <f>gamma*(ABS(D99)-F99)+F99</f>
        <v>301.58897946229808</v>
      </c>
      <c r="G100">
        <f t="shared" ref="G100" si="97">IF(F100=0,0,ABS(E100/F100))</f>
        <v>0.51950402195072376</v>
      </c>
      <c r="H100">
        <f>ABS((B100-C100)/B100)</f>
        <v>0.15731117192821925</v>
      </c>
      <c r="I100">
        <f>(B100-C100)^2</f>
        <v>55903.25479478114</v>
      </c>
    </row>
    <row r="101" spans="1:9" x14ac:dyDescent="0.45">
      <c r="A101" s="1">
        <v>100</v>
      </c>
      <c r="B101" s="1">
        <v>1799.1000000000001</v>
      </c>
      <c r="C101" s="1">
        <f>C100+G100*(B100-C100)</f>
        <v>1616.6078402768326</v>
      </c>
      <c r="D101" s="1">
        <f>B101-C101</f>
        <v>182.49215972316756</v>
      </c>
      <c r="E101">
        <f>gamma*(D100-E100)+E100</f>
        <v>-168.44368705895258</v>
      </c>
      <c r="F101">
        <f>gamma*(ABS(D100)-F100)+F100</f>
        <v>291.97759363691415</v>
      </c>
      <c r="G101">
        <f t="shared" ref="G101" si="98">IF(F101=0,0,ABS(E101/F101))</f>
        <v>0.57690621037318046</v>
      </c>
      <c r="H101">
        <f>ABS((B101-C101)/B101)</f>
        <v>0.10143525080493999</v>
      </c>
      <c r="I101">
        <f>(B101-C101)^2</f>
        <v>33303.388360426099</v>
      </c>
    </row>
    <row r="102" spans="1:9" x14ac:dyDescent="0.45">
      <c r="A102" s="1">
        <v>101</v>
      </c>
      <c r="B102" s="1">
        <v>2171.7000000000003</v>
      </c>
      <c r="C102" s="1">
        <f>C101+G101*(B101-C101)</f>
        <v>1721.8887005655424</v>
      </c>
      <c r="D102" s="1">
        <f>B102-C102</f>
        <v>449.81129943445785</v>
      </c>
      <c r="E102">
        <f>gamma*(D101-E101)+E101</f>
        <v>-116.67139373347231</v>
      </c>
      <c r="F102">
        <f>gamma*(ABS(D101)-F101)+F101</f>
        <v>275.82560445876339</v>
      </c>
      <c r="G102">
        <f t="shared" ref="G102" si="99">IF(F102=0,0,ABS(E102/F102))</f>
        <v>0.42298971468732871</v>
      </c>
      <c r="H102">
        <f>ABS((B102-C102)/B102)</f>
        <v>0.20712405002277376</v>
      </c>
      <c r="I102">
        <f>(B102-C102)^2</f>
        <v>202330.2050989155</v>
      </c>
    </row>
    <row r="103" spans="1:9" x14ac:dyDescent="0.45">
      <c r="A103" s="1">
        <v>102</v>
      </c>
      <c r="B103" s="1">
        <v>1475.1000000000001</v>
      </c>
      <c r="C103" s="1">
        <f>C102+G102*(B102-C102)</f>
        <v>1912.1542537764603</v>
      </c>
      <c r="D103" s="1">
        <f>B103-C103</f>
        <v>-437.0542537764602</v>
      </c>
      <c r="E103">
        <f>gamma*(D102-E102)+E102</f>
        <v>-33.100255522827837</v>
      </c>
      <c r="F103">
        <f>gamma*(ABS(D102)-F102)+F102</f>
        <v>301.49308333649577</v>
      </c>
      <c r="G103">
        <f t="shared" ref="G103" si="100">IF(F103=0,0,ABS(E103/F103))</f>
        <v>0.10978777740610624</v>
      </c>
      <c r="H103">
        <f>ABS((B103-C103)/B103)</f>
        <v>0.2962878813480172</v>
      </c>
      <c r="I103">
        <f>(B103-C103)^2</f>
        <v>191016.42074409846</v>
      </c>
    </row>
    <row r="104" spans="1:9" x14ac:dyDescent="0.45">
      <c r="A104" s="1">
        <v>103</v>
      </c>
      <c r="B104" s="1">
        <v>1984.5</v>
      </c>
      <c r="C104" s="1">
        <f>C103+G103*(B103-C103)</f>
        <v>1864.1710386484585</v>
      </c>
      <c r="D104" s="1">
        <f>B104-C104</f>
        <v>120.32896135154147</v>
      </c>
      <c r="E104">
        <f>gamma*(D103-E103)+E103</f>
        <v>-92.694124542916569</v>
      </c>
      <c r="F104">
        <f>gamma*(ABS(D103)-F103)+F103</f>
        <v>321.49193139923187</v>
      </c>
      <c r="G104">
        <f t="shared" ref="G104" si="101">IF(F104=0,0,ABS(E104/F104))</f>
        <v>0.28832488622493013</v>
      </c>
      <c r="H104">
        <f>ABS((B104-C104)/B104)</f>
        <v>6.0634397254493051E-2</v>
      </c>
      <c r="I104">
        <f>(B104-C104)^2</f>
        <v>14479.05893994076</v>
      </c>
    </row>
    <row r="105" spans="1:9" x14ac:dyDescent="0.45">
      <c r="A105" s="1">
        <v>104</v>
      </c>
      <c r="B105" s="1">
        <v>1476</v>
      </c>
      <c r="C105" s="1">
        <f>C104+G104*(B104-C104)</f>
        <v>1898.8648727397058</v>
      </c>
      <c r="D105" s="1">
        <f>B105-C105</f>
        <v>-422.86487273970579</v>
      </c>
      <c r="E105">
        <f>gamma*(D104-E104)+E104</f>
        <v>-61.267600894353343</v>
      </c>
      <c r="F105">
        <f>gamma*(ABS(D104)-F104)+F104</f>
        <v>291.81508764835735</v>
      </c>
      <c r="G105">
        <f t="shared" ref="G105" si="102">IF(F105=0,0,ABS(E105/F105))</f>
        <v>0.20995350647592956</v>
      </c>
      <c r="H105">
        <f>ABS((B105-C105)/B105)</f>
        <v>0.28649381621931286</v>
      </c>
      <c r="I105">
        <f>(B105-C105)^2</f>
        <v>178814.70059716757</v>
      </c>
    </row>
    <row r="106" spans="1:9" x14ac:dyDescent="0.45">
      <c r="C106" s="1">
        <f>C105+G105*(B105-C105)</f>
        <v>1810.0829099425068</v>
      </c>
      <c r="D106" s="1"/>
    </row>
    <row r="107" spans="1:9" x14ac:dyDescent="0.45">
      <c r="C107" s="1"/>
      <c r="D107" s="1"/>
    </row>
    <row r="108" spans="1:9" x14ac:dyDescent="0.45">
      <c r="C108" s="1"/>
      <c r="D108" s="1"/>
    </row>
    <row r="109" spans="1:9" x14ac:dyDescent="0.45">
      <c r="C109" s="1"/>
      <c r="D109" s="1"/>
    </row>
    <row r="110" spans="1:9" x14ac:dyDescent="0.45">
      <c r="C110" s="1"/>
      <c r="D110" s="1"/>
    </row>
    <row r="111" spans="1:9" x14ac:dyDescent="0.45">
      <c r="C111" s="1"/>
      <c r="D111" s="1"/>
    </row>
    <row r="112" spans="1:9" x14ac:dyDescent="0.45">
      <c r="C112" s="1"/>
      <c r="D112" s="1"/>
    </row>
    <row r="113" spans="3:4" x14ac:dyDescent="0.45">
      <c r="C113" s="1"/>
      <c r="D113" s="1"/>
    </row>
    <row r="114" spans="3:4" x14ac:dyDescent="0.45">
      <c r="C114" s="1"/>
    </row>
    <row r="115" spans="3:4" x14ac:dyDescent="0.45">
      <c r="C115" s="1"/>
    </row>
    <row r="116" spans="3:4" x14ac:dyDescent="0.45">
      <c r="C116" s="1"/>
    </row>
    <row r="117" spans="3:4" x14ac:dyDescent="0.45">
      <c r="C117" s="1"/>
    </row>
    <row r="118" spans="3:4" x14ac:dyDescent="0.45">
      <c r="C118" s="1"/>
    </row>
    <row r="119" spans="3:4" x14ac:dyDescent="0.45">
      <c r="C119" s="1"/>
    </row>
    <row r="120" spans="3:4" x14ac:dyDescent="0.45">
      <c r="C1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Start</vt:lpstr>
      <vt:lpstr>Product1</vt:lpstr>
      <vt:lpstr>calcSimple</vt:lpstr>
      <vt:lpstr>calcAdaptive</vt:lpstr>
      <vt:lpstr>Simple</vt:lpstr>
      <vt:lpstr>Adaptive</vt:lpstr>
      <vt:lpstr>alpha</vt:lpstr>
      <vt:lpstr>gamma</vt:lpstr>
      <vt:lpstr>SSE_adaptive</vt:lpstr>
      <vt:lpstr>SSE_simple</vt:lpstr>
    </vt:vector>
  </TitlesOfParts>
  <Company>____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</dc:creator>
  <cp:lastModifiedBy>Kerr</cp:lastModifiedBy>
  <dcterms:created xsi:type="dcterms:W3CDTF">2014-10-14T11:16:32Z</dcterms:created>
  <dcterms:modified xsi:type="dcterms:W3CDTF">2014-12-02T01:53:15Z</dcterms:modified>
</cp:coreProperties>
</file>