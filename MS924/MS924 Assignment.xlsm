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Home\GitHub\StrathclydeMSc\MS924\"/>
    </mc:Choice>
  </mc:AlternateContent>
  <bookViews>
    <workbookView xWindow="0" yWindow="-23" windowWidth="28800" windowHeight="16443"/>
  </bookViews>
  <sheets>
    <sheet name="Start" sheetId="2" r:id="rId1"/>
    <sheet name="Product1" sheetId="1" r:id="rId2"/>
    <sheet name="Error Bars" sheetId="5" state="hidden" r:id="rId3"/>
    <sheet name="calcSimple" sheetId="3" state="hidden" r:id="rId4"/>
    <sheet name="calcAdaptive" sheetId="4" state="hidden" r:id="rId5"/>
  </sheets>
  <definedNames>
    <definedName name="alpha">calcSimple!$H$2</definedName>
    <definedName name="gamma">calcAdaptive!$L$2</definedName>
    <definedName name="solver_adj" localSheetId="4" hidden="1">calcAdaptive!$L$2</definedName>
    <definedName name="solver_adj" localSheetId="3" hidden="1">calcSimple!$H$2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1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calcAdaptive!$L$2</definedName>
    <definedName name="solver_lhs1" localSheetId="3" hidden="1">calcSimple!$H$2</definedName>
    <definedName name="solver_lhs10" localSheetId="4" hidden="1">calcAdaptive!$D$2</definedName>
    <definedName name="solver_lhs10" localSheetId="3" hidden="1">calcSimple!$H$2</definedName>
    <definedName name="solver_lhs100" localSheetId="4" hidden="1">calcAdaptive!$L$2</definedName>
    <definedName name="solver_lhs100" localSheetId="3" hidden="1">calcSimple!$H$2</definedName>
    <definedName name="solver_lhs101" localSheetId="4" hidden="1">calcAdaptive!$L$2</definedName>
    <definedName name="solver_lhs101" localSheetId="3" hidden="1">calcSimple!$H$2</definedName>
    <definedName name="solver_lhs102" localSheetId="4" hidden="1">calcAdaptive!$L$2</definedName>
    <definedName name="solver_lhs102" localSheetId="3" hidden="1">calcSimple!$H$2</definedName>
    <definedName name="solver_lhs103" localSheetId="4" hidden="1">calcAdaptive!$L$2</definedName>
    <definedName name="solver_lhs103" localSheetId="3" hidden="1">calcSimple!$H$2</definedName>
    <definedName name="solver_lhs104" localSheetId="4" hidden="1">calcAdaptive!$L$2</definedName>
    <definedName name="solver_lhs104" localSheetId="3" hidden="1">calcSimple!$H$2</definedName>
    <definedName name="solver_lhs105" localSheetId="4" hidden="1">calcAdaptive!$L$2</definedName>
    <definedName name="solver_lhs105" localSheetId="3" hidden="1">calcSimple!$H$2</definedName>
    <definedName name="solver_lhs106" localSheetId="4" hidden="1">calcAdaptive!$L$2</definedName>
    <definedName name="solver_lhs106" localSheetId="3" hidden="1">calcSimple!$H$2</definedName>
    <definedName name="solver_lhs107" localSheetId="4" hidden="1">calcAdaptive!$L$2</definedName>
    <definedName name="solver_lhs107" localSheetId="3" hidden="1">calcSimple!$H$2</definedName>
    <definedName name="solver_lhs108" localSheetId="4" hidden="1">calcAdaptive!$L$2</definedName>
    <definedName name="solver_lhs108" localSheetId="3" hidden="1">calcSimple!$H$2</definedName>
    <definedName name="solver_lhs109" localSheetId="4" hidden="1">calcAdaptive!$L$2</definedName>
    <definedName name="solver_lhs109" localSheetId="3" hidden="1">calcSimple!$H$2</definedName>
    <definedName name="solver_lhs11" localSheetId="4" hidden="1">calcAdaptive!$D$2</definedName>
    <definedName name="solver_lhs11" localSheetId="3" hidden="1">calcSimple!$H$2</definedName>
    <definedName name="solver_lhs110" localSheetId="4" hidden="1">calcAdaptive!$L$2</definedName>
    <definedName name="solver_lhs110" localSheetId="3" hidden="1">calcSimple!$H$2</definedName>
    <definedName name="solver_lhs111" localSheetId="4" hidden="1">calcAdaptive!$L$2</definedName>
    <definedName name="solver_lhs111" localSheetId="3" hidden="1">calcSimple!$H$2</definedName>
    <definedName name="solver_lhs112" localSheetId="4" hidden="1">calcAdaptive!$L$2</definedName>
    <definedName name="solver_lhs112" localSheetId="3" hidden="1">calcSimple!$H$2</definedName>
    <definedName name="solver_lhs113" localSheetId="4" hidden="1">calcAdaptive!$L$2</definedName>
    <definedName name="solver_lhs113" localSheetId="3" hidden="1">calcSimple!$H$2</definedName>
    <definedName name="solver_lhs114" localSheetId="4" hidden="1">calcAdaptive!$L$2</definedName>
    <definedName name="solver_lhs114" localSheetId="3" hidden="1">calcSimple!$H$2</definedName>
    <definedName name="solver_lhs115" localSheetId="4" hidden="1">calcAdaptive!$L$2</definedName>
    <definedName name="solver_lhs115" localSheetId="3" hidden="1">calcSimple!$H$2</definedName>
    <definedName name="solver_lhs116" localSheetId="4" hidden="1">calcAdaptive!$L$2</definedName>
    <definedName name="solver_lhs116" localSheetId="3" hidden="1">calcSimple!$H$2</definedName>
    <definedName name="solver_lhs117" localSheetId="4" hidden="1">calcAdaptive!$L$2</definedName>
    <definedName name="solver_lhs117" localSheetId="3" hidden="1">calcSimple!$H$2</definedName>
    <definedName name="solver_lhs118" localSheetId="4" hidden="1">calcAdaptive!$L$2</definedName>
    <definedName name="solver_lhs118" localSheetId="3" hidden="1">calcSimple!$H$2</definedName>
    <definedName name="solver_lhs119" localSheetId="4" hidden="1">calcAdaptive!$L$2</definedName>
    <definedName name="solver_lhs119" localSheetId="3" hidden="1">calcSimple!$H$2</definedName>
    <definedName name="solver_lhs12" localSheetId="4" hidden="1">calcAdaptive!$D$2</definedName>
    <definedName name="solver_lhs12" localSheetId="3" hidden="1">calcSimple!$H$2</definedName>
    <definedName name="solver_lhs120" localSheetId="4" hidden="1">calcAdaptive!$L$2</definedName>
    <definedName name="solver_lhs120" localSheetId="3" hidden="1">calcSimple!$H$2</definedName>
    <definedName name="solver_lhs121" localSheetId="4" hidden="1">calcAdaptive!$L$2</definedName>
    <definedName name="solver_lhs121" localSheetId="3" hidden="1">calcSimple!$H$2</definedName>
    <definedName name="solver_lhs122" localSheetId="4" hidden="1">calcAdaptive!$L$2</definedName>
    <definedName name="solver_lhs122" localSheetId="3" hidden="1">calcSimple!$H$2</definedName>
    <definedName name="solver_lhs123" localSheetId="4" hidden="1">calcAdaptive!$L$2</definedName>
    <definedName name="solver_lhs123" localSheetId="3" hidden="1">calcSimple!$H$2</definedName>
    <definedName name="solver_lhs124" localSheetId="4" hidden="1">calcAdaptive!$L$2</definedName>
    <definedName name="solver_lhs124" localSheetId="3" hidden="1">calcSimple!$H$2</definedName>
    <definedName name="solver_lhs125" localSheetId="4" hidden="1">calcAdaptive!$L$2</definedName>
    <definedName name="solver_lhs125" localSheetId="3" hidden="1">calcSimple!$H$2</definedName>
    <definedName name="solver_lhs126" localSheetId="4" hidden="1">calcAdaptive!$L$2</definedName>
    <definedName name="solver_lhs126" localSheetId="3" hidden="1">calcSimple!$H$2</definedName>
    <definedName name="solver_lhs127" localSheetId="3" hidden="1">calcSimple!$H$2</definedName>
    <definedName name="solver_lhs128" localSheetId="3" hidden="1">calcSimple!$H$2</definedName>
    <definedName name="solver_lhs129" localSheetId="3" hidden="1">calcSimple!$H$2</definedName>
    <definedName name="solver_lhs13" localSheetId="4" hidden="1">calcAdaptive!$D$2</definedName>
    <definedName name="solver_lhs13" localSheetId="3" hidden="1">calcSimple!$H$2</definedName>
    <definedName name="solver_lhs130" localSheetId="3" hidden="1">calcSimple!$H$2</definedName>
    <definedName name="solver_lhs131" localSheetId="3" hidden="1">calcSimple!$H$2</definedName>
    <definedName name="solver_lhs132" localSheetId="3" hidden="1">calcSimple!$H$2</definedName>
    <definedName name="solver_lhs133" localSheetId="3" hidden="1">calcSimple!$H$2</definedName>
    <definedName name="solver_lhs134" localSheetId="3" hidden="1">calcSimple!$H$2</definedName>
    <definedName name="solver_lhs135" localSheetId="3" hidden="1">calcSimple!$H$2</definedName>
    <definedName name="solver_lhs136" localSheetId="3" hidden="1">calcSimple!$H$2</definedName>
    <definedName name="solver_lhs137" localSheetId="3" hidden="1">calcSimple!$H$2</definedName>
    <definedName name="solver_lhs138" localSheetId="3" hidden="1">calcSimple!$H$2</definedName>
    <definedName name="solver_lhs139" localSheetId="3" hidden="1">calcSimple!$H$2</definedName>
    <definedName name="solver_lhs14" localSheetId="4" hidden="1">calcAdaptive!$D$2</definedName>
    <definedName name="solver_lhs14" localSheetId="3" hidden="1">calcSimple!$H$2</definedName>
    <definedName name="solver_lhs140" localSheetId="3" hidden="1">calcSimple!$H$2</definedName>
    <definedName name="solver_lhs141" localSheetId="3" hidden="1">calcSimple!$H$2</definedName>
    <definedName name="solver_lhs142" localSheetId="3" hidden="1">calcSimple!$H$2</definedName>
    <definedName name="solver_lhs143" localSheetId="3" hidden="1">calcSimple!$H$2</definedName>
    <definedName name="solver_lhs144" localSheetId="3" hidden="1">calcSimple!$H$2</definedName>
    <definedName name="solver_lhs145" localSheetId="3" hidden="1">calcSimple!$H$2</definedName>
    <definedName name="solver_lhs146" localSheetId="3" hidden="1">calcSimple!$H$2</definedName>
    <definedName name="solver_lhs147" localSheetId="3" hidden="1">calcSimple!$H$2</definedName>
    <definedName name="solver_lhs148" localSheetId="3" hidden="1">calcSimple!$H$2</definedName>
    <definedName name="solver_lhs149" localSheetId="3" hidden="1">calcSimple!$H$2</definedName>
    <definedName name="solver_lhs15" localSheetId="4" hidden="1">calcAdaptive!$D$2</definedName>
    <definedName name="solver_lhs15" localSheetId="3" hidden="1">calcSimple!$H$2</definedName>
    <definedName name="solver_lhs150" localSheetId="3" hidden="1">calcSimple!$H$2</definedName>
    <definedName name="solver_lhs151" localSheetId="3" hidden="1">calcSimple!$H$2</definedName>
    <definedName name="solver_lhs152" localSheetId="3" hidden="1">calcSimple!$H$2</definedName>
    <definedName name="solver_lhs153" localSheetId="3" hidden="1">calcSimple!$H$2</definedName>
    <definedName name="solver_lhs154" localSheetId="3" hidden="1">calcSimple!$H$2</definedName>
    <definedName name="solver_lhs155" localSheetId="3" hidden="1">calcSimple!$H$2</definedName>
    <definedName name="solver_lhs156" localSheetId="3" hidden="1">calcSimple!$H$2</definedName>
    <definedName name="solver_lhs157" localSheetId="3" hidden="1">calcSimple!$H$2</definedName>
    <definedName name="solver_lhs158" localSheetId="3" hidden="1">calcSimple!$H$2</definedName>
    <definedName name="solver_lhs159" localSheetId="3" hidden="1">calcSimple!$H$2</definedName>
    <definedName name="solver_lhs16" localSheetId="4" hidden="1">calcAdaptive!$D$2</definedName>
    <definedName name="solver_lhs16" localSheetId="3" hidden="1">calcSimple!$H$2</definedName>
    <definedName name="solver_lhs160" localSheetId="3" hidden="1">calcSimple!$H$2</definedName>
    <definedName name="solver_lhs161" localSheetId="3" hidden="1">calcSimple!$H$2</definedName>
    <definedName name="solver_lhs162" localSheetId="3" hidden="1">calcSimple!$H$2</definedName>
    <definedName name="solver_lhs17" localSheetId="4" hidden="1">calcAdaptive!$H$2</definedName>
    <definedName name="solver_lhs17" localSheetId="3" hidden="1">calcSimple!$H$2</definedName>
    <definedName name="solver_lhs18" localSheetId="4" hidden="1">calcAdaptive!$H$2</definedName>
    <definedName name="solver_lhs18" localSheetId="3" hidden="1">calcSimple!$H$2</definedName>
    <definedName name="solver_lhs19" localSheetId="4" hidden="1">calcAdaptive!$H$2</definedName>
    <definedName name="solver_lhs19" localSheetId="3" hidden="1">calcSimple!$H$2</definedName>
    <definedName name="solver_lhs2" localSheetId="4" hidden="1">calcAdaptive!$L$2</definedName>
    <definedName name="solver_lhs2" localSheetId="3" hidden="1">calcSimple!$H$2</definedName>
    <definedName name="solver_lhs20" localSheetId="4" hidden="1">calcAdaptive!$H$2</definedName>
    <definedName name="solver_lhs20" localSheetId="3" hidden="1">calcSimple!$H$2</definedName>
    <definedName name="solver_lhs21" localSheetId="4" hidden="1">calcAdaptive!$H$2</definedName>
    <definedName name="solver_lhs21" localSheetId="3" hidden="1">calcSimple!$H$2</definedName>
    <definedName name="solver_lhs22" localSheetId="4" hidden="1">calcAdaptive!$H$2</definedName>
    <definedName name="solver_lhs22" localSheetId="3" hidden="1">calcSimple!$H$2</definedName>
    <definedName name="solver_lhs23" localSheetId="4" hidden="1">calcAdaptive!$H$2</definedName>
    <definedName name="solver_lhs23" localSheetId="3" hidden="1">calcSimple!$H$2</definedName>
    <definedName name="solver_lhs24" localSheetId="4" hidden="1">calcAdaptive!$H$2</definedName>
    <definedName name="solver_lhs24" localSheetId="3" hidden="1">calcSimple!$H$2</definedName>
    <definedName name="solver_lhs25" localSheetId="4" hidden="1">calcAdaptive!$H$2</definedName>
    <definedName name="solver_lhs25" localSheetId="3" hidden="1">calcSimple!$H$2</definedName>
    <definedName name="solver_lhs26" localSheetId="4" hidden="1">calcAdaptive!$H$2</definedName>
    <definedName name="solver_lhs26" localSheetId="3" hidden="1">calcSimple!$H$2</definedName>
    <definedName name="solver_lhs27" localSheetId="4" hidden="1">calcAdaptive!$L$2</definedName>
    <definedName name="solver_lhs27" localSheetId="3" hidden="1">calcSimple!$H$2</definedName>
    <definedName name="solver_lhs28" localSheetId="4" hidden="1">calcAdaptive!$L$2</definedName>
    <definedName name="solver_lhs28" localSheetId="3" hidden="1">calcSimple!$H$2</definedName>
    <definedName name="solver_lhs29" localSheetId="4" hidden="1">calcAdaptive!$L$2</definedName>
    <definedName name="solver_lhs29" localSheetId="3" hidden="1">calcSimple!$H$2</definedName>
    <definedName name="solver_lhs3" localSheetId="4" hidden="1">calcAdaptive!$D$2</definedName>
    <definedName name="solver_lhs3" localSheetId="3" hidden="1">calcSimple!$H$2</definedName>
    <definedName name="solver_lhs30" localSheetId="4" hidden="1">calcAdaptive!$L$2</definedName>
    <definedName name="solver_lhs30" localSheetId="3" hidden="1">calcSimple!$H$2</definedName>
    <definedName name="solver_lhs31" localSheetId="4" hidden="1">calcAdaptive!$L$2</definedName>
    <definedName name="solver_lhs31" localSheetId="3" hidden="1">calcSimple!$H$2</definedName>
    <definedName name="solver_lhs32" localSheetId="4" hidden="1">calcAdaptive!$L$2</definedName>
    <definedName name="solver_lhs32" localSheetId="3" hidden="1">calcSimple!$H$2</definedName>
    <definedName name="solver_lhs33" localSheetId="4" hidden="1">calcAdaptive!$L$2</definedName>
    <definedName name="solver_lhs33" localSheetId="3" hidden="1">calcSimple!$H$2</definedName>
    <definedName name="solver_lhs34" localSheetId="4" hidden="1">calcAdaptive!$L$2</definedName>
    <definedName name="solver_lhs34" localSheetId="3" hidden="1">calcSimple!$H$2</definedName>
    <definedName name="solver_lhs35" localSheetId="4" hidden="1">calcAdaptive!$L$2</definedName>
    <definedName name="solver_lhs35" localSheetId="3" hidden="1">calcSimple!$H$2</definedName>
    <definedName name="solver_lhs36" localSheetId="4" hidden="1">calcAdaptive!$L$2</definedName>
    <definedName name="solver_lhs36" localSheetId="3" hidden="1">calcSimple!$H$2</definedName>
    <definedName name="solver_lhs37" localSheetId="4" hidden="1">calcAdaptive!$L$2</definedName>
    <definedName name="solver_lhs37" localSheetId="3" hidden="1">calcSimple!$H$2</definedName>
    <definedName name="solver_lhs38" localSheetId="4" hidden="1">calcAdaptive!$L$2</definedName>
    <definedName name="solver_lhs38" localSheetId="3" hidden="1">calcSimple!$H$2</definedName>
    <definedName name="solver_lhs39" localSheetId="4" hidden="1">calcAdaptive!$L$2</definedName>
    <definedName name="solver_lhs39" localSheetId="3" hidden="1">calcSimple!$H$2</definedName>
    <definedName name="solver_lhs4" localSheetId="4" hidden="1">calcAdaptive!$D$2</definedName>
    <definedName name="solver_lhs4" localSheetId="3" hidden="1">calcSimple!$H$2</definedName>
    <definedName name="solver_lhs40" localSheetId="4" hidden="1">calcAdaptive!$L$2</definedName>
    <definedName name="solver_lhs40" localSheetId="3" hidden="1">calcSimple!$H$2</definedName>
    <definedName name="solver_lhs41" localSheetId="4" hidden="1">calcAdaptive!$L$2</definedName>
    <definedName name="solver_lhs41" localSheetId="3" hidden="1">calcSimple!$H$2</definedName>
    <definedName name="solver_lhs42" localSheetId="4" hidden="1">calcAdaptive!$L$2</definedName>
    <definedName name="solver_lhs42" localSheetId="3" hidden="1">calcSimple!$H$2</definedName>
    <definedName name="solver_lhs43" localSheetId="4" hidden="1">calcAdaptive!$L$2</definedName>
    <definedName name="solver_lhs43" localSheetId="3" hidden="1">calcSimple!$H$2</definedName>
    <definedName name="solver_lhs44" localSheetId="4" hidden="1">calcAdaptive!$L$2</definedName>
    <definedName name="solver_lhs44" localSheetId="3" hidden="1">calcSimple!$H$2</definedName>
    <definedName name="solver_lhs45" localSheetId="4" hidden="1">calcAdaptive!$L$2</definedName>
    <definedName name="solver_lhs45" localSheetId="3" hidden="1">calcSimple!$H$2</definedName>
    <definedName name="solver_lhs46" localSheetId="4" hidden="1">calcAdaptive!$L$2</definedName>
    <definedName name="solver_lhs46" localSheetId="3" hidden="1">calcSimple!$H$2</definedName>
    <definedName name="solver_lhs47" localSheetId="4" hidden="1">calcAdaptive!$L$2</definedName>
    <definedName name="solver_lhs47" localSheetId="3" hidden="1">calcSimple!$H$2</definedName>
    <definedName name="solver_lhs48" localSheetId="4" hidden="1">calcAdaptive!$L$2</definedName>
    <definedName name="solver_lhs48" localSheetId="3" hidden="1">calcSimple!$H$2</definedName>
    <definedName name="solver_lhs49" localSheetId="4" hidden="1">calcAdaptive!$L$2</definedName>
    <definedName name="solver_lhs49" localSheetId="3" hidden="1">calcSimple!$H$2</definedName>
    <definedName name="solver_lhs5" localSheetId="4" hidden="1">calcAdaptive!$D$2</definedName>
    <definedName name="solver_lhs5" localSheetId="3" hidden="1">calcSimple!$H$2</definedName>
    <definedName name="solver_lhs50" localSheetId="4" hidden="1">calcAdaptive!$L$2</definedName>
    <definedName name="solver_lhs50" localSheetId="3" hidden="1">calcSimple!$H$2</definedName>
    <definedName name="solver_lhs51" localSheetId="4" hidden="1">calcAdaptive!$L$2</definedName>
    <definedName name="solver_lhs51" localSheetId="3" hidden="1">calcSimple!$H$2</definedName>
    <definedName name="solver_lhs52" localSheetId="4" hidden="1">calcAdaptive!$L$2</definedName>
    <definedName name="solver_lhs52" localSheetId="3" hidden="1">calcSimple!$H$2</definedName>
    <definedName name="solver_lhs53" localSheetId="4" hidden="1">calcAdaptive!$L$2</definedName>
    <definedName name="solver_lhs53" localSheetId="3" hidden="1">calcSimple!$H$2</definedName>
    <definedName name="solver_lhs54" localSheetId="4" hidden="1">calcAdaptive!$L$2</definedName>
    <definedName name="solver_lhs54" localSheetId="3" hidden="1">calcSimple!$H$2</definedName>
    <definedName name="solver_lhs55" localSheetId="4" hidden="1">calcAdaptive!$L$2</definedName>
    <definedName name="solver_lhs55" localSheetId="3" hidden="1">calcSimple!$H$2</definedName>
    <definedName name="solver_lhs56" localSheetId="4" hidden="1">calcAdaptive!$L$2</definedName>
    <definedName name="solver_lhs56" localSheetId="3" hidden="1">calcSimple!$H$2</definedName>
    <definedName name="solver_lhs57" localSheetId="4" hidden="1">calcAdaptive!$L$2</definedName>
    <definedName name="solver_lhs57" localSheetId="3" hidden="1">calcSimple!$H$2</definedName>
    <definedName name="solver_lhs58" localSheetId="4" hidden="1">calcAdaptive!$L$2</definedName>
    <definedName name="solver_lhs58" localSheetId="3" hidden="1">calcSimple!$H$2</definedName>
    <definedName name="solver_lhs59" localSheetId="4" hidden="1">calcAdaptive!$L$2</definedName>
    <definedName name="solver_lhs59" localSheetId="3" hidden="1">calcSimple!$H$2</definedName>
    <definedName name="solver_lhs6" localSheetId="4" hidden="1">calcAdaptive!$D$2</definedName>
    <definedName name="solver_lhs6" localSheetId="3" hidden="1">calcSimple!$H$2</definedName>
    <definedName name="solver_lhs60" localSheetId="4" hidden="1">calcAdaptive!$L$2</definedName>
    <definedName name="solver_lhs60" localSheetId="3" hidden="1">calcSimple!$H$2</definedName>
    <definedName name="solver_lhs61" localSheetId="4" hidden="1">calcAdaptive!$L$2</definedName>
    <definedName name="solver_lhs61" localSheetId="3" hidden="1">calcSimple!$H$2</definedName>
    <definedName name="solver_lhs62" localSheetId="4" hidden="1">calcAdaptive!$L$2</definedName>
    <definedName name="solver_lhs62" localSheetId="3" hidden="1">calcSimple!$H$2</definedName>
    <definedName name="solver_lhs63" localSheetId="4" hidden="1">calcAdaptive!$L$2</definedName>
    <definedName name="solver_lhs63" localSheetId="3" hidden="1">calcSimple!$H$2</definedName>
    <definedName name="solver_lhs64" localSheetId="4" hidden="1">calcAdaptive!$L$2</definedName>
    <definedName name="solver_lhs64" localSheetId="3" hidden="1">calcSimple!$H$2</definedName>
    <definedName name="solver_lhs65" localSheetId="4" hidden="1">calcAdaptive!$L$2</definedName>
    <definedName name="solver_lhs65" localSheetId="3" hidden="1">calcSimple!$H$2</definedName>
    <definedName name="solver_lhs66" localSheetId="4" hidden="1">calcAdaptive!$L$2</definedName>
    <definedName name="solver_lhs66" localSheetId="3" hidden="1">calcSimple!$H$2</definedName>
    <definedName name="solver_lhs67" localSheetId="4" hidden="1">calcAdaptive!$L$2</definedName>
    <definedName name="solver_lhs67" localSheetId="3" hidden="1">calcSimple!$H$2</definedName>
    <definedName name="solver_lhs68" localSheetId="4" hidden="1">calcAdaptive!$L$2</definedName>
    <definedName name="solver_lhs68" localSheetId="3" hidden="1">calcSimple!$H$2</definedName>
    <definedName name="solver_lhs69" localSheetId="4" hidden="1">calcAdaptive!$L$2</definedName>
    <definedName name="solver_lhs69" localSheetId="3" hidden="1">calcSimple!$H$2</definedName>
    <definedName name="solver_lhs7" localSheetId="4" hidden="1">calcAdaptive!$D$2</definedName>
    <definedName name="solver_lhs7" localSheetId="3" hidden="1">calcSimple!$H$2</definedName>
    <definedName name="solver_lhs70" localSheetId="4" hidden="1">calcAdaptive!$L$2</definedName>
    <definedName name="solver_lhs70" localSheetId="3" hidden="1">calcSimple!$H$2</definedName>
    <definedName name="solver_lhs71" localSheetId="4" hidden="1">calcAdaptive!$L$2</definedName>
    <definedName name="solver_lhs71" localSheetId="3" hidden="1">calcSimple!$H$2</definedName>
    <definedName name="solver_lhs72" localSheetId="4" hidden="1">calcAdaptive!$L$2</definedName>
    <definedName name="solver_lhs72" localSheetId="3" hidden="1">calcSimple!$H$2</definedName>
    <definedName name="solver_lhs73" localSheetId="4" hidden="1">calcAdaptive!$L$2</definedName>
    <definedName name="solver_lhs73" localSheetId="3" hidden="1">calcSimple!$H$2</definedName>
    <definedName name="solver_lhs74" localSheetId="4" hidden="1">calcAdaptive!$L$2</definedName>
    <definedName name="solver_lhs74" localSheetId="3" hidden="1">calcSimple!$H$2</definedName>
    <definedName name="solver_lhs75" localSheetId="4" hidden="1">calcAdaptive!$L$2</definedName>
    <definedName name="solver_lhs75" localSheetId="3" hidden="1">calcSimple!$H$2</definedName>
    <definedName name="solver_lhs76" localSheetId="4" hidden="1">calcAdaptive!$L$2</definedName>
    <definedName name="solver_lhs76" localSheetId="3" hidden="1">calcSimple!$H$2</definedName>
    <definedName name="solver_lhs77" localSheetId="4" hidden="1">calcAdaptive!$L$2</definedName>
    <definedName name="solver_lhs77" localSheetId="3" hidden="1">calcSimple!$H$2</definedName>
    <definedName name="solver_lhs78" localSheetId="4" hidden="1">calcAdaptive!$L$2</definedName>
    <definedName name="solver_lhs78" localSheetId="3" hidden="1">calcSimple!$H$2</definedName>
    <definedName name="solver_lhs79" localSheetId="4" hidden="1">calcAdaptive!$L$2</definedName>
    <definedName name="solver_lhs79" localSheetId="3" hidden="1">calcSimple!$H$2</definedName>
    <definedName name="solver_lhs8" localSheetId="4" hidden="1">calcAdaptive!$D$2</definedName>
    <definedName name="solver_lhs8" localSheetId="3" hidden="1">calcSimple!$H$2</definedName>
    <definedName name="solver_lhs80" localSheetId="4" hidden="1">calcAdaptive!$L$2</definedName>
    <definedName name="solver_lhs80" localSheetId="3" hidden="1">calcSimple!$H$2</definedName>
    <definedName name="solver_lhs81" localSheetId="4" hidden="1">calcAdaptive!$L$2</definedName>
    <definedName name="solver_lhs81" localSheetId="3" hidden="1">calcSimple!$H$2</definedName>
    <definedName name="solver_lhs82" localSheetId="4" hidden="1">calcAdaptive!$L$2</definedName>
    <definedName name="solver_lhs82" localSheetId="3" hidden="1">calcSimple!$H$2</definedName>
    <definedName name="solver_lhs83" localSheetId="4" hidden="1">calcAdaptive!$L$2</definedName>
    <definedName name="solver_lhs83" localSheetId="3" hidden="1">calcSimple!$H$2</definedName>
    <definedName name="solver_lhs84" localSheetId="4" hidden="1">calcAdaptive!$L$2</definedName>
    <definedName name="solver_lhs84" localSheetId="3" hidden="1">calcSimple!$H$2</definedName>
    <definedName name="solver_lhs85" localSheetId="4" hidden="1">calcAdaptive!$L$2</definedName>
    <definedName name="solver_lhs85" localSheetId="3" hidden="1">calcSimple!$H$2</definedName>
    <definedName name="solver_lhs86" localSheetId="4" hidden="1">calcAdaptive!$L$2</definedName>
    <definedName name="solver_lhs86" localSheetId="3" hidden="1">calcSimple!$H$2</definedName>
    <definedName name="solver_lhs87" localSheetId="4" hidden="1">calcAdaptive!$L$2</definedName>
    <definedName name="solver_lhs87" localSheetId="3" hidden="1">calcSimple!$H$2</definedName>
    <definedName name="solver_lhs88" localSheetId="4" hidden="1">calcAdaptive!$L$2</definedName>
    <definedName name="solver_lhs88" localSheetId="3" hidden="1">calcSimple!$H$2</definedName>
    <definedName name="solver_lhs89" localSheetId="4" hidden="1">calcAdaptive!$L$2</definedName>
    <definedName name="solver_lhs89" localSheetId="3" hidden="1">calcSimple!$H$2</definedName>
    <definedName name="solver_lhs9" localSheetId="4" hidden="1">calcAdaptive!$D$2</definedName>
    <definedName name="solver_lhs9" localSheetId="3" hidden="1">calcSimple!$H$2</definedName>
    <definedName name="solver_lhs90" localSheetId="4" hidden="1">calcAdaptive!$L$2</definedName>
    <definedName name="solver_lhs90" localSheetId="3" hidden="1">calcSimple!$H$2</definedName>
    <definedName name="solver_lhs91" localSheetId="4" hidden="1">calcAdaptive!$L$2</definedName>
    <definedName name="solver_lhs91" localSheetId="3" hidden="1">calcSimple!$H$2</definedName>
    <definedName name="solver_lhs92" localSheetId="4" hidden="1">calcAdaptive!$L$2</definedName>
    <definedName name="solver_lhs92" localSheetId="3" hidden="1">calcSimple!$H$2</definedName>
    <definedName name="solver_lhs93" localSheetId="4" hidden="1">calcAdaptive!$L$2</definedName>
    <definedName name="solver_lhs93" localSheetId="3" hidden="1">calcSimple!$H$2</definedName>
    <definedName name="solver_lhs94" localSheetId="4" hidden="1">calcAdaptive!$L$2</definedName>
    <definedName name="solver_lhs94" localSheetId="3" hidden="1">calcSimple!$H$2</definedName>
    <definedName name="solver_lhs95" localSheetId="4" hidden="1">calcAdaptive!$L$2</definedName>
    <definedName name="solver_lhs95" localSheetId="3" hidden="1">calcSimple!$H$2</definedName>
    <definedName name="solver_lhs96" localSheetId="4" hidden="1">calcAdaptive!$L$2</definedName>
    <definedName name="solver_lhs96" localSheetId="3" hidden="1">calcSimple!$H$2</definedName>
    <definedName name="solver_lhs97" localSheetId="4" hidden="1">calcAdaptive!$L$2</definedName>
    <definedName name="solver_lhs97" localSheetId="3" hidden="1">calcSimple!$H$2</definedName>
    <definedName name="solver_lhs98" localSheetId="4" hidden="1">calcAdaptive!$L$2</definedName>
    <definedName name="solver_lhs98" localSheetId="3" hidden="1">calcSimple!$H$2</definedName>
    <definedName name="solver_lhs99" localSheetId="4" hidden="1">calcAdaptive!$L$2</definedName>
    <definedName name="solver_lhs99" localSheetId="3" hidden="1">calcSimple!$H$2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126</definedName>
    <definedName name="solver_num" localSheetId="3" hidden="1">162</definedName>
    <definedName name="solver_nwt" localSheetId="4" hidden="1">1</definedName>
    <definedName name="solver_nwt" localSheetId="3" hidden="1">1</definedName>
    <definedName name="solver_opt" localSheetId="4" hidden="1">calcAdaptive!$K$2</definedName>
    <definedName name="solver_opt" localSheetId="3" hidden="1">calcSimple!$G$2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1</definedName>
    <definedName name="solver_rel1" localSheetId="4" hidden="1">1</definedName>
    <definedName name="solver_rel1" localSheetId="3" hidden="1">1</definedName>
    <definedName name="solver_rel10" localSheetId="4" hidden="1">1</definedName>
    <definedName name="solver_rel10" localSheetId="3" hidden="1">1</definedName>
    <definedName name="solver_rel100" localSheetId="4" hidden="1">1</definedName>
    <definedName name="solver_rel100" localSheetId="3" hidden="1">1</definedName>
    <definedName name="solver_rel101" localSheetId="4" hidden="1">3</definedName>
    <definedName name="solver_rel101" localSheetId="3" hidden="1">3</definedName>
    <definedName name="solver_rel102" localSheetId="4" hidden="1">1</definedName>
    <definedName name="solver_rel102" localSheetId="3" hidden="1">1</definedName>
    <definedName name="solver_rel103" localSheetId="4" hidden="1">3</definedName>
    <definedName name="solver_rel103" localSheetId="3" hidden="1">3</definedName>
    <definedName name="solver_rel104" localSheetId="4" hidden="1">1</definedName>
    <definedName name="solver_rel104" localSheetId="3" hidden="1">1</definedName>
    <definedName name="solver_rel105" localSheetId="4" hidden="1">3</definedName>
    <definedName name="solver_rel105" localSheetId="3" hidden="1">3</definedName>
    <definedName name="solver_rel106" localSheetId="4" hidden="1">1</definedName>
    <definedName name="solver_rel106" localSheetId="3" hidden="1">1</definedName>
    <definedName name="solver_rel107" localSheetId="4" hidden="1">3</definedName>
    <definedName name="solver_rel107" localSheetId="3" hidden="1">3</definedName>
    <definedName name="solver_rel108" localSheetId="4" hidden="1">1</definedName>
    <definedName name="solver_rel108" localSheetId="3" hidden="1">1</definedName>
    <definedName name="solver_rel109" localSheetId="4" hidden="1">3</definedName>
    <definedName name="solver_rel109" localSheetId="3" hidden="1">3</definedName>
    <definedName name="solver_rel11" localSheetId="4" hidden="1">3</definedName>
    <definedName name="solver_rel11" localSheetId="3" hidden="1">3</definedName>
    <definedName name="solver_rel110" localSheetId="4" hidden="1">1</definedName>
    <definedName name="solver_rel110" localSheetId="3" hidden="1">1</definedName>
    <definedName name="solver_rel111" localSheetId="4" hidden="1">3</definedName>
    <definedName name="solver_rel111" localSheetId="3" hidden="1">3</definedName>
    <definedName name="solver_rel112" localSheetId="4" hidden="1">1</definedName>
    <definedName name="solver_rel112" localSheetId="3" hidden="1">1</definedName>
    <definedName name="solver_rel113" localSheetId="4" hidden="1">3</definedName>
    <definedName name="solver_rel113" localSheetId="3" hidden="1">3</definedName>
    <definedName name="solver_rel114" localSheetId="4" hidden="1">1</definedName>
    <definedName name="solver_rel114" localSheetId="3" hidden="1">1</definedName>
    <definedName name="solver_rel115" localSheetId="4" hidden="1">3</definedName>
    <definedName name="solver_rel115" localSheetId="3" hidden="1">3</definedName>
    <definedName name="solver_rel116" localSheetId="4" hidden="1">1</definedName>
    <definedName name="solver_rel116" localSheetId="3" hidden="1">1</definedName>
    <definedName name="solver_rel117" localSheetId="4" hidden="1">3</definedName>
    <definedName name="solver_rel117" localSheetId="3" hidden="1">3</definedName>
    <definedName name="solver_rel118" localSheetId="4" hidden="1">1</definedName>
    <definedName name="solver_rel118" localSheetId="3" hidden="1">1</definedName>
    <definedName name="solver_rel119" localSheetId="4" hidden="1">3</definedName>
    <definedName name="solver_rel119" localSheetId="3" hidden="1">3</definedName>
    <definedName name="solver_rel12" localSheetId="4" hidden="1">1</definedName>
    <definedName name="solver_rel12" localSheetId="3" hidden="1">1</definedName>
    <definedName name="solver_rel120" localSheetId="4" hidden="1">1</definedName>
    <definedName name="solver_rel120" localSheetId="3" hidden="1">1</definedName>
    <definedName name="solver_rel121" localSheetId="4" hidden="1">3</definedName>
    <definedName name="solver_rel121" localSheetId="3" hidden="1">3</definedName>
    <definedName name="solver_rel122" localSheetId="4" hidden="1">1</definedName>
    <definedName name="solver_rel122" localSheetId="3" hidden="1">1</definedName>
    <definedName name="solver_rel123" localSheetId="4" hidden="1">3</definedName>
    <definedName name="solver_rel123" localSheetId="3" hidden="1">3</definedName>
    <definedName name="solver_rel124" localSheetId="4" hidden="1">1</definedName>
    <definedName name="solver_rel124" localSheetId="3" hidden="1">1</definedName>
    <definedName name="solver_rel125" localSheetId="4" hidden="1">3</definedName>
    <definedName name="solver_rel125" localSheetId="3" hidden="1">3</definedName>
    <definedName name="solver_rel126" localSheetId="4" hidden="1">1</definedName>
    <definedName name="solver_rel126" localSheetId="3" hidden="1">1</definedName>
    <definedName name="solver_rel127" localSheetId="3" hidden="1">3</definedName>
    <definedName name="solver_rel128" localSheetId="3" hidden="1">1</definedName>
    <definedName name="solver_rel129" localSheetId="3" hidden="1">3</definedName>
    <definedName name="solver_rel13" localSheetId="4" hidden="1">3</definedName>
    <definedName name="solver_rel13" localSheetId="3" hidden="1">3</definedName>
    <definedName name="solver_rel130" localSheetId="3" hidden="1">1</definedName>
    <definedName name="solver_rel131" localSheetId="3" hidden="1">3</definedName>
    <definedName name="solver_rel132" localSheetId="3" hidden="1">1</definedName>
    <definedName name="solver_rel133" localSheetId="3" hidden="1">3</definedName>
    <definedName name="solver_rel134" localSheetId="3" hidden="1">1</definedName>
    <definedName name="solver_rel135" localSheetId="3" hidden="1">3</definedName>
    <definedName name="solver_rel136" localSheetId="3" hidden="1">1</definedName>
    <definedName name="solver_rel137" localSheetId="3" hidden="1">3</definedName>
    <definedName name="solver_rel138" localSheetId="3" hidden="1">1</definedName>
    <definedName name="solver_rel139" localSheetId="3" hidden="1">3</definedName>
    <definedName name="solver_rel14" localSheetId="4" hidden="1">1</definedName>
    <definedName name="solver_rel14" localSheetId="3" hidden="1">1</definedName>
    <definedName name="solver_rel140" localSheetId="3" hidden="1">1</definedName>
    <definedName name="solver_rel141" localSheetId="3" hidden="1">3</definedName>
    <definedName name="solver_rel142" localSheetId="3" hidden="1">1</definedName>
    <definedName name="solver_rel143" localSheetId="3" hidden="1">3</definedName>
    <definedName name="solver_rel144" localSheetId="3" hidden="1">1</definedName>
    <definedName name="solver_rel145" localSheetId="3" hidden="1">3</definedName>
    <definedName name="solver_rel146" localSheetId="3" hidden="1">1</definedName>
    <definedName name="solver_rel147" localSheetId="3" hidden="1">3</definedName>
    <definedName name="solver_rel148" localSheetId="3" hidden="1">1</definedName>
    <definedName name="solver_rel149" localSheetId="3" hidden="1">3</definedName>
    <definedName name="solver_rel15" localSheetId="4" hidden="1">3</definedName>
    <definedName name="solver_rel15" localSheetId="3" hidden="1">3</definedName>
    <definedName name="solver_rel150" localSheetId="3" hidden="1">1</definedName>
    <definedName name="solver_rel151" localSheetId="3" hidden="1">3</definedName>
    <definedName name="solver_rel152" localSheetId="3" hidden="1">1</definedName>
    <definedName name="solver_rel153" localSheetId="3" hidden="1">3</definedName>
    <definedName name="solver_rel154" localSheetId="3" hidden="1">1</definedName>
    <definedName name="solver_rel155" localSheetId="3" hidden="1">3</definedName>
    <definedName name="solver_rel156" localSheetId="3" hidden="1">1</definedName>
    <definedName name="solver_rel157" localSheetId="3" hidden="1">3</definedName>
    <definedName name="solver_rel158" localSheetId="3" hidden="1">1</definedName>
    <definedName name="solver_rel159" localSheetId="3" hidden="1">3</definedName>
    <definedName name="solver_rel16" localSheetId="4" hidden="1">1</definedName>
    <definedName name="solver_rel16" localSheetId="3" hidden="1">1</definedName>
    <definedName name="solver_rel160" localSheetId="3" hidden="1">1</definedName>
    <definedName name="solver_rel161" localSheetId="3" hidden="1">3</definedName>
    <definedName name="solver_rel162" localSheetId="3" hidden="1">1</definedName>
    <definedName name="solver_rel17" localSheetId="4" hidden="1">3</definedName>
    <definedName name="solver_rel17" localSheetId="3" hidden="1">3</definedName>
    <definedName name="solver_rel18" localSheetId="4" hidden="1">1</definedName>
    <definedName name="solver_rel18" localSheetId="3" hidden="1">1</definedName>
    <definedName name="solver_rel19" localSheetId="4" hidden="1">3</definedName>
    <definedName name="solver_rel19" localSheetId="3" hidden="1">3</definedName>
    <definedName name="solver_rel2" localSheetId="4" hidden="1">3</definedName>
    <definedName name="solver_rel2" localSheetId="3" hidden="1">3</definedName>
    <definedName name="solver_rel20" localSheetId="4" hidden="1">1</definedName>
    <definedName name="solver_rel20" localSheetId="3" hidden="1">1</definedName>
    <definedName name="solver_rel21" localSheetId="4" hidden="1">3</definedName>
    <definedName name="solver_rel21" localSheetId="3" hidden="1">3</definedName>
    <definedName name="solver_rel22" localSheetId="4" hidden="1">1</definedName>
    <definedName name="solver_rel22" localSheetId="3" hidden="1">1</definedName>
    <definedName name="solver_rel23" localSheetId="4" hidden="1">3</definedName>
    <definedName name="solver_rel23" localSheetId="3" hidden="1">3</definedName>
    <definedName name="solver_rel24" localSheetId="4" hidden="1">1</definedName>
    <definedName name="solver_rel24" localSheetId="3" hidden="1">1</definedName>
    <definedName name="solver_rel25" localSheetId="4" hidden="1">3</definedName>
    <definedName name="solver_rel25" localSheetId="3" hidden="1">3</definedName>
    <definedName name="solver_rel26" localSheetId="4" hidden="1">1</definedName>
    <definedName name="solver_rel26" localSheetId="3" hidden="1">1</definedName>
    <definedName name="solver_rel27" localSheetId="4" hidden="1">3</definedName>
    <definedName name="solver_rel27" localSheetId="3" hidden="1">3</definedName>
    <definedName name="solver_rel28" localSheetId="4" hidden="1">1</definedName>
    <definedName name="solver_rel28" localSheetId="3" hidden="1">1</definedName>
    <definedName name="solver_rel29" localSheetId="4" hidden="1">3</definedName>
    <definedName name="solver_rel29" localSheetId="3" hidden="1">3</definedName>
    <definedName name="solver_rel3" localSheetId="4" hidden="1">3</definedName>
    <definedName name="solver_rel3" localSheetId="3" hidden="1">3</definedName>
    <definedName name="solver_rel30" localSheetId="4" hidden="1">1</definedName>
    <definedName name="solver_rel30" localSheetId="3" hidden="1">1</definedName>
    <definedName name="solver_rel31" localSheetId="4" hidden="1">3</definedName>
    <definedName name="solver_rel31" localSheetId="3" hidden="1">3</definedName>
    <definedName name="solver_rel32" localSheetId="4" hidden="1">1</definedName>
    <definedName name="solver_rel32" localSheetId="3" hidden="1">1</definedName>
    <definedName name="solver_rel33" localSheetId="4" hidden="1">3</definedName>
    <definedName name="solver_rel33" localSheetId="3" hidden="1">3</definedName>
    <definedName name="solver_rel34" localSheetId="4" hidden="1">1</definedName>
    <definedName name="solver_rel34" localSheetId="3" hidden="1">1</definedName>
    <definedName name="solver_rel35" localSheetId="4" hidden="1">3</definedName>
    <definedName name="solver_rel35" localSheetId="3" hidden="1">3</definedName>
    <definedName name="solver_rel36" localSheetId="4" hidden="1">1</definedName>
    <definedName name="solver_rel36" localSheetId="3" hidden="1">1</definedName>
    <definedName name="solver_rel37" localSheetId="4" hidden="1">3</definedName>
    <definedName name="solver_rel37" localSheetId="3" hidden="1">3</definedName>
    <definedName name="solver_rel38" localSheetId="4" hidden="1">1</definedName>
    <definedName name="solver_rel38" localSheetId="3" hidden="1">1</definedName>
    <definedName name="solver_rel39" localSheetId="4" hidden="1">3</definedName>
    <definedName name="solver_rel39" localSheetId="3" hidden="1">3</definedName>
    <definedName name="solver_rel4" localSheetId="4" hidden="1">1</definedName>
    <definedName name="solver_rel4" localSheetId="3" hidden="1">1</definedName>
    <definedName name="solver_rel40" localSheetId="4" hidden="1">1</definedName>
    <definedName name="solver_rel40" localSheetId="3" hidden="1">1</definedName>
    <definedName name="solver_rel41" localSheetId="4" hidden="1">3</definedName>
    <definedName name="solver_rel41" localSheetId="3" hidden="1">3</definedName>
    <definedName name="solver_rel42" localSheetId="4" hidden="1">1</definedName>
    <definedName name="solver_rel42" localSheetId="3" hidden="1">1</definedName>
    <definedName name="solver_rel43" localSheetId="4" hidden="1">3</definedName>
    <definedName name="solver_rel43" localSheetId="3" hidden="1">3</definedName>
    <definedName name="solver_rel44" localSheetId="4" hidden="1">1</definedName>
    <definedName name="solver_rel44" localSheetId="3" hidden="1">1</definedName>
    <definedName name="solver_rel45" localSheetId="4" hidden="1">3</definedName>
    <definedName name="solver_rel45" localSheetId="3" hidden="1">3</definedName>
    <definedName name="solver_rel46" localSheetId="4" hidden="1">1</definedName>
    <definedName name="solver_rel46" localSheetId="3" hidden="1">1</definedName>
    <definedName name="solver_rel47" localSheetId="4" hidden="1">3</definedName>
    <definedName name="solver_rel47" localSheetId="3" hidden="1">3</definedName>
    <definedName name="solver_rel48" localSheetId="4" hidden="1">1</definedName>
    <definedName name="solver_rel48" localSheetId="3" hidden="1">1</definedName>
    <definedName name="solver_rel49" localSheetId="4" hidden="1">3</definedName>
    <definedName name="solver_rel49" localSheetId="3" hidden="1">3</definedName>
    <definedName name="solver_rel5" localSheetId="4" hidden="1">3</definedName>
    <definedName name="solver_rel5" localSheetId="3" hidden="1">3</definedName>
    <definedName name="solver_rel50" localSheetId="4" hidden="1">1</definedName>
    <definedName name="solver_rel50" localSheetId="3" hidden="1">1</definedName>
    <definedName name="solver_rel51" localSheetId="4" hidden="1">3</definedName>
    <definedName name="solver_rel51" localSheetId="3" hidden="1">3</definedName>
    <definedName name="solver_rel52" localSheetId="4" hidden="1">1</definedName>
    <definedName name="solver_rel52" localSheetId="3" hidden="1">1</definedName>
    <definedName name="solver_rel53" localSheetId="4" hidden="1">3</definedName>
    <definedName name="solver_rel53" localSheetId="3" hidden="1">3</definedName>
    <definedName name="solver_rel54" localSheetId="4" hidden="1">1</definedName>
    <definedName name="solver_rel54" localSheetId="3" hidden="1">1</definedName>
    <definedName name="solver_rel55" localSheetId="4" hidden="1">3</definedName>
    <definedName name="solver_rel55" localSheetId="3" hidden="1">3</definedName>
    <definedName name="solver_rel56" localSheetId="4" hidden="1">1</definedName>
    <definedName name="solver_rel56" localSheetId="3" hidden="1">1</definedName>
    <definedName name="solver_rel57" localSheetId="4" hidden="1">3</definedName>
    <definedName name="solver_rel57" localSheetId="3" hidden="1">3</definedName>
    <definedName name="solver_rel58" localSheetId="4" hidden="1">1</definedName>
    <definedName name="solver_rel58" localSheetId="3" hidden="1">1</definedName>
    <definedName name="solver_rel59" localSheetId="4" hidden="1">3</definedName>
    <definedName name="solver_rel59" localSheetId="3" hidden="1">3</definedName>
    <definedName name="solver_rel6" localSheetId="4" hidden="1">1</definedName>
    <definedName name="solver_rel6" localSheetId="3" hidden="1">1</definedName>
    <definedName name="solver_rel60" localSheetId="4" hidden="1">1</definedName>
    <definedName name="solver_rel60" localSheetId="3" hidden="1">1</definedName>
    <definedName name="solver_rel61" localSheetId="4" hidden="1">3</definedName>
    <definedName name="solver_rel61" localSheetId="3" hidden="1">3</definedName>
    <definedName name="solver_rel62" localSheetId="4" hidden="1">1</definedName>
    <definedName name="solver_rel62" localSheetId="3" hidden="1">1</definedName>
    <definedName name="solver_rel63" localSheetId="4" hidden="1">3</definedName>
    <definedName name="solver_rel63" localSheetId="3" hidden="1">3</definedName>
    <definedName name="solver_rel64" localSheetId="4" hidden="1">1</definedName>
    <definedName name="solver_rel64" localSheetId="3" hidden="1">1</definedName>
    <definedName name="solver_rel65" localSheetId="4" hidden="1">3</definedName>
    <definedName name="solver_rel65" localSheetId="3" hidden="1">3</definedName>
    <definedName name="solver_rel66" localSheetId="4" hidden="1">1</definedName>
    <definedName name="solver_rel66" localSheetId="3" hidden="1">1</definedName>
    <definedName name="solver_rel67" localSheetId="4" hidden="1">3</definedName>
    <definedName name="solver_rel67" localSheetId="3" hidden="1">3</definedName>
    <definedName name="solver_rel68" localSheetId="4" hidden="1">1</definedName>
    <definedName name="solver_rel68" localSheetId="3" hidden="1">1</definedName>
    <definedName name="solver_rel69" localSheetId="4" hidden="1">3</definedName>
    <definedName name="solver_rel69" localSheetId="3" hidden="1">3</definedName>
    <definedName name="solver_rel7" localSheetId="4" hidden="1">3</definedName>
    <definedName name="solver_rel7" localSheetId="3" hidden="1">3</definedName>
    <definedName name="solver_rel70" localSheetId="4" hidden="1">1</definedName>
    <definedName name="solver_rel70" localSheetId="3" hidden="1">1</definedName>
    <definedName name="solver_rel71" localSheetId="4" hidden="1">3</definedName>
    <definedName name="solver_rel71" localSheetId="3" hidden="1">3</definedName>
    <definedName name="solver_rel72" localSheetId="4" hidden="1">1</definedName>
    <definedName name="solver_rel72" localSheetId="3" hidden="1">1</definedName>
    <definedName name="solver_rel73" localSheetId="4" hidden="1">3</definedName>
    <definedName name="solver_rel73" localSheetId="3" hidden="1">3</definedName>
    <definedName name="solver_rel74" localSheetId="4" hidden="1">1</definedName>
    <definedName name="solver_rel74" localSheetId="3" hidden="1">1</definedName>
    <definedName name="solver_rel75" localSheetId="4" hidden="1">3</definedName>
    <definedName name="solver_rel75" localSheetId="3" hidden="1">3</definedName>
    <definedName name="solver_rel76" localSheetId="4" hidden="1">1</definedName>
    <definedName name="solver_rel76" localSheetId="3" hidden="1">1</definedName>
    <definedName name="solver_rel77" localSheetId="4" hidden="1">3</definedName>
    <definedName name="solver_rel77" localSheetId="3" hidden="1">3</definedName>
    <definedName name="solver_rel78" localSheetId="4" hidden="1">1</definedName>
    <definedName name="solver_rel78" localSheetId="3" hidden="1">1</definedName>
    <definedName name="solver_rel79" localSheetId="4" hidden="1">3</definedName>
    <definedName name="solver_rel79" localSheetId="3" hidden="1">3</definedName>
    <definedName name="solver_rel8" localSheetId="4" hidden="1">1</definedName>
    <definedName name="solver_rel8" localSheetId="3" hidden="1">1</definedName>
    <definedName name="solver_rel80" localSheetId="4" hidden="1">1</definedName>
    <definedName name="solver_rel80" localSheetId="3" hidden="1">1</definedName>
    <definedName name="solver_rel81" localSheetId="4" hidden="1">3</definedName>
    <definedName name="solver_rel81" localSheetId="3" hidden="1">3</definedName>
    <definedName name="solver_rel82" localSheetId="4" hidden="1">1</definedName>
    <definedName name="solver_rel82" localSheetId="3" hidden="1">1</definedName>
    <definedName name="solver_rel83" localSheetId="4" hidden="1">3</definedName>
    <definedName name="solver_rel83" localSheetId="3" hidden="1">3</definedName>
    <definedName name="solver_rel84" localSheetId="4" hidden="1">1</definedName>
    <definedName name="solver_rel84" localSheetId="3" hidden="1">1</definedName>
    <definedName name="solver_rel85" localSheetId="4" hidden="1">3</definedName>
    <definedName name="solver_rel85" localSheetId="3" hidden="1">3</definedName>
    <definedName name="solver_rel86" localSheetId="4" hidden="1">1</definedName>
    <definedName name="solver_rel86" localSheetId="3" hidden="1">1</definedName>
    <definedName name="solver_rel87" localSheetId="4" hidden="1">3</definedName>
    <definedName name="solver_rel87" localSheetId="3" hidden="1">3</definedName>
    <definedName name="solver_rel88" localSheetId="4" hidden="1">1</definedName>
    <definedName name="solver_rel88" localSheetId="3" hidden="1">1</definedName>
    <definedName name="solver_rel89" localSheetId="4" hidden="1">3</definedName>
    <definedName name="solver_rel89" localSheetId="3" hidden="1">3</definedName>
    <definedName name="solver_rel9" localSheetId="4" hidden="1">3</definedName>
    <definedName name="solver_rel9" localSheetId="3" hidden="1">3</definedName>
    <definedName name="solver_rel90" localSheetId="4" hidden="1">1</definedName>
    <definedName name="solver_rel90" localSheetId="3" hidden="1">1</definedName>
    <definedName name="solver_rel91" localSheetId="4" hidden="1">3</definedName>
    <definedName name="solver_rel91" localSheetId="3" hidden="1">3</definedName>
    <definedName name="solver_rel92" localSheetId="4" hidden="1">1</definedName>
    <definedName name="solver_rel92" localSheetId="3" hidden="1">1</definedName>
    <definedName name="solver_rel93" localSheetId="4" hidden="1">3</definedName>
    <definedName name="solver_rel93" localSheetId="3" hidden="1">3</definedName>
    <definedName name="solver_rel94" localSheetId="4" hidden="1">1</definedName>
    <definedName name="solver_rel94" localSheetId="3" hidden="1">1</definedName>
    <definedName name="solver_rel95" localSheetId="4" hidden="1">3</definedName>
    <definedName name="solver_rel95" localSheetId="3" hidden="1">3</definedName>
    <definedName name="solver_rel96" localSheetId="4" hidden="1">1</definedName>
    <definedName name="solver_rel96" localSheetId="3" hidden="1">1</definedName>
    <definedName name="solver_rel97" localSheetId="4" hidden="1">3</definedName>
    <definedName name="solver_rel97" localSheetId="3" hidden="1">3</definedName>
    <definedName name="solver_rel98" localSheetId="4" hidden="1">1</definedName>
    <definedName name="solver_rel98" localSheetId="3" hidden="1">1</definedName>
    <definedName name="solver_rel99" localSheetId="4" hidden="1">3</definedName>
    <definedName name="solver_rel99" localSheetId="3" hidden="1">3</definedName>
    <definedName name="solver_rhs1" localSheetId="4" hidden="1">1</definedName>
    <definedName name="solver_rhs1" localSheetId="3" hidden="1">1</definedName>
    <definedName name="solver_rhs10" localSheetId="4" hidden="1">1</definedName>
    <definedName name="solver_rhs10" localSheetId="3" hidden="1">1</definedName>
    <definedName name="solver_rhs100" localSheetId="4" hidden="1">1</definedName>
    <definedName name="solver_rhs100" localSheetId="3" hidden="1">1</definedName>
    <definedName name="solver_rhs101" localSheetId="4" hidden="1">0</definedName>
    <definedName name="solver_rhs101" localSheetId="3" hidden="1">0</definedName>
    <definedName name="solver_rhs102" localSheetId="4" hidden="1">1</definedName>
    <definedName name="solver_rhs102" localSheetId="3" hidden="1">1</definedName>
    <definedName name="solver_rhs103" localSheetId="4" hidden="1">0</definedName>
    <definedName name="solver_rhs103" localSheetId="3" hidden="1">0</definedName>
    <definedName name="solver_rhs104" localSheetId="4" hidden="1">1</definedName>
    <definedName name="solver_rhs104" localSheetId="3" hidden="1">1</definedName>
    <definedName name="solver_rhs105" localSheetId="4" hidden="1">0</definedName>
    <definedName name="solver_rhs105" localSheetId="3" hidden="1">0</definedName>
    <definedName name="solver_rhs106" localSheetId="4" hidden="1">1</definedName>
    <definedName name="solver_rhs106" localSheetId="3" hidden="1">1</definedName>
    <definedName name="solver_rhs107" localSheetId="4" hidden="1">0</definedName>
    <definedName name="solver_rhs107" localSheetId="3" hidden="1">0</definedName>
    <definedName name="solver_rhs108" localSheetId="4" hidden="1">1</definedName>
    <definedName name="solver_rhs108" localSheetId="3" hidden="1">1</definedName>
    <definedName name="solver_rhs109" localSheetId="4" hidden="1">0</definedName>
    <definedName name="solver_rhs109" localSheetId="3" hidden="1">0</definedName>
    <definedName name="solver_rhs11" localSheetId="4" hidden="1">0</definedName>
    <definedName name="solver_rhs11" localSheetId="3" hidden="1">0</definedName>
    <definedName name="solver_rhs110" localSheetId="4" hidden="1">1</definedName>
    <definedName name="solver_rhs110" localSheetId="3" hidden="1">1</definedName>
    <definedName name="solver_rhs111" localSheetId="4" hidden="1">0</definedName>
    <definedName name="solver_rhs111" localSheetId="3" hidden="1">0</definedName>
    <definedName name="solver_rhs112" localSheetId="4" hidden="1">1</definedName>
    <definedName name="solver_rhs112" localSheetId="3" hidden="1">1</definedName>
    <definedName name="solver_rhs113" localSheetId="4" hidden="1">0</definedName>
    <definedName name="solver_rhs113" localSheetId="3" hidden="1">0</definedName>
    <definedName name="solver_rhs114" localSheetId="4" hidden="1">1</definedName>
    <definedName name="solver_rhs114" localSheetId="3" hidden="1">1</definedName>
    <definedName name="solver_rhs115" localSheetId="4" hidden="1">0</definedName>
    <definedName name="solver_rhs115" localSheetId="3" hidden="1">0</definedName>
    <definedName name="solver_rhs116" localSheetId="4" hidden="1">1</definedName>
    <definedName name="solver_rhs116" localSheetId="3" hidden="1">1</definedName>
    <definedName name="solver_rhs117" localSheetId="4" hidden="1">0</definedName>
    <definedName name="solver_rhs117" localSheetId="3" hidden="1">0</definedName>
    <definedName name="solver_rhs118" localSheetId="4" hidden="1">1</definedName>
    <definedName name="solver_rhs118" localSheetId="3" hidden="1">1</definedName>
    <definedName name="solver_rhs119" localSheetId="4" hidden="1">0</definedName>
    <definedName name="solver_rhs119" localSheetId="3" hidden="1">0</definedName>
    <definedName name="solver_rhs12" localSheetId="4" hidden="1">1</definedName>
    <definedName name="solver_rhs12" localSheetId="3" hidden="1">1</definedName>
    <definedName name="solver_rhs120" localSheetId="4" hidden="1">1</definedName>
    <definedName name="solver_rhs120" localSheetId="3" hidden="1">1</definedName>
    <definedName name="solver_rhs121" localSheetId="4" hidden="1">0</definedName>
    <definedName name="solver_rhs121" localSheetId="3" hidden="1">0</definedName>
    <definedName name="solver_rhs122" localSheetId="4" hidden="1">1</definedName>
    <definedName name="solver_rhs122" localSheetId="3" hidden="1">1</definedName>
    <definedName name="solver_rhs123" localSheetId="4" hidden="1">0</definedName>
    <definedName name="solver_rhs123" localSheetId="3" hidden="1">0</definedName>
    <definedName name="solver_rhs124" localSheetId="4" hidden="1">1</definedName>
    <definedName name="solver_rhs124" localSheetId="3" hidden="1">1</definedName>
    <definedName name="solver_rhs125" localSheetId="4" hidden="1">0</definedName>
    <definedName name="solver_rhs125" localSheetId="3" hidden="1">0</definedName>
    <definedName name="solver_rhs126" localSheetId="4" hidden="1">1</definedName>
    <definedName name="solver_rhs126" localSheetId="3" hidden="1">1</definedName>
    <definedName name="solver_rhs127" localSheetId="3" hidden="1">0</definedName>
    <definedName name="solver_rhs128" localSheetId="3" hidden="1">1</definedName>
    <definedName name="solver_rhs129" localSheetId="3" hidden="1">0</definedName>
    <definedName name="solver_rhs13" localSheetId="4" hidden="1">0</definedName>
    <definedName name="solver_rhs13" localSheetId="3" hidden="1">0</definedName>
    <definedName name="solver_rhs130" localSheetId="3" hidden="1">1</definedName>
    <definedName name="solver_rhs131" localSheetId="3" hidden="1">0</definedName>
    <definedName name="solver_rhs132" localSheetId="3" hidden="1">1</definedName>
    <definedName name="solver_rhs133" localSheetId="3" hidden="1">0</definedName>
    <definedName name="solver_rhs134" localSheetId="3" hidden="1">1</definedName>
    <definedName name="solver_rhs135" localSheetId="3" hidden="1">0</definedName>
    <definedName name="solver_rhs136" localSheetId="3" hidden="1">1</definedName>
    <definedName name="solver_rhs137" localSheetId="3" hidden="1">0</definedName>
    <definedName name="solver_rhs138" localSheetId="3" hidden="1">1</definedName>
    <definedName name="solver_rhs139" localSheetId="3" hidden="1">0</definedName>
    <definedName name="solver_rhs14" localSheetId="4" hidden="1">1</definedName>
    <definedName name="solver_rhs14" localSheetId="3" hidden="1">1</definedName>
    <definedName name="solver_rhs140" localSheetId="3" hidden="1">1</definedName>
    <definedName name="solver_rhs141" localSheetId="3" hidden="1">0</definedName>
    <definedName name="solver_rhs142" localSheetId="3" hidden="1">1</definedName>
    <definedName name="solver_rhs143" localSheetId="3" hidden="1">0</definedName>
    <definedName name="solver_rhs144" localSheetId="3" hidden="1">1</definedName>
    <definedName name="solver_rhs145" localSheetId="3" hidden="1">0</definedName>
    <definedName name="solver_rhs146" localSheetId="3" hidden="1">1</definedName>
    <definedName name="solver_rhs147" localSheetId="3" hidden="1">0</definedName>
    <definedName name="solver_rhs148" localSheetId="3" hidden="1">1</definedName>
    <definedName name="solver_rhs149" localSheetId="3" hidden="1">0</definedName>
    <definedName name="solver_rhs15" localSheetId="4" hidden="1">0</definedName>
    <definedName name="solver_rhs15" localSheetId="3" hidden="1">0</definedName>
    <definedName name="solver_rhs150" localSheetId="3" hidden="1">1</definedName>
    <definedName name="solver_rhs151" localSheetId="3" hidden="1">0</definedName>
    <definedName name="solver_rhs152" localSheetId="3" hidden="1">1</definedName>
    <definedName name="solver_rhs153" localSheetId="3" hidden="1">0</definedName>
    <definedName name="solver_rhs154" localSheetId="3" hidden="1">1</definedName>
    <definedName name="solver_rhs155" localSheetId="3" hidden="1">0</definedName>
    <definedName name="solver_rhs156" localSheetId="3" hidden="1">1</definedName>
    <definedName name="solver_rhs157" localSheetId="3" hidden="1">0</definedName>
    <definedName name="solver_rhs158" localSheetId="3" hidden="1">1</definedName>
    <definedName name="solver_rhs159" localSheetId="3" hidden="1">0</definedName>
    <definedName name="solver_rhs16" localSheetId="4" hidden="1">1</definedName>
    <definedName name="solver_rhs16" localSheetId="3" hidden="1">1</definedName>
    <definedName name="solver_rhs160" localSheetId="3" hidden="1">1</definedName>
    <definedName name="solver_rhs161" localSheetId="3" hidden="1">0</definedName>
    <definedName name="solver_rhs162" localSheetId="3" hidden="1">1</definedName>
    <definedName name="solver_rhs17" localSheetId="4" hidden="1">0</definedName>
    <definedName name="solver_rhs17" localSheetId="3" hidden="1">0</definedName>
    <definedName name="solver_rhs18" localSheetId="4" hidden="1">1</definedName>
    <definedName name="solver_rhs18" localSheetId="3" hidden="1">1</definedName>
    <definedName name="solver_rhs19" localSheetId="4" hidden="1">0</definedName>
    <definedName name="solver_rhs19" localSheetId="3" hidden="1">0</definedName>
    <definedName name="solver_rhs2" localSheetId="4" hidden="1">0</definedName>
    <definedName name="solver_rhs2" localSheetId="3" hidden="1">0</definedName>
    <definedName name="solver_rhs20" localSheetId="4" hidden="1">1</definedName>
    <definedName name="solver_rhs20" localSheetId="3" hidden="1">1</definedName>
    <definedName name="solver_rhs21" localSheetId="4" hidden="1">0</definedName>
    <definedName name="solver_rhs21" localSheetId="3" hidden="1">0</definedName>
    <definedName name="solver_rhs22" localSheetId="4" hidden="1">1</definedName>
    <definedName name="solver_rhs22" localSheetId="3" hidden="1">1</definedName>
    <definedName name="solver_rhs23" localSheetId="4" hidden="1">0</definedName>
    <definedName name="solver_rhs23" localSheetId="3" hidden="1">0</definedName>
    <definedName name="solver_rhs24" localSheetId="4" hidden="1">1</definedName>
    <definedName name="solver_rhs24" localSheetId="3" hidden="1">1</definedName>
    <definedName name="solver_rhs25" localSheetId="4" hidden="1">0</definedName>
    <definedName name="solver_rhs25" localSheetId="3" hidden="1">0</definedName>
    <definedName name="solver_rhs26" localSheetId="4" hidden="1">1</definedName>
    <definedName name="solver_rhs26" localSheetId="3" hidden="1">1</definedName>
    <definedName name="solver_rhs27" localSheetId="4" hidden="1">0</definedName>
    <definedName name="solver_rhs27" localSheetId="3" hidden="1">0</definedName>
    <definedName name="solver_rhs28" localSheetId="4" hidden="1">1</definedName>
    <definedName name="solver_rhs28" localSheetId="3" hidden="1">1</definedName>
    <definedName name="solver_rhs29" localSheetId="4" hidden="1">0</definedName>
    <definedName name="solver_rhs29" localSheetId="3" hidden="1">0</definedName>
    <definedName name="solver_rhs3" localSheetId="4" hidden="1">0</definedName>
    <definedName name="solver_rhs3" localSheetId="3" hidden="1">0</definedName>
    <definedName name="solver_rhs30" localSheetId="4" hidden="1">1</definedName>
    <definedName name="solver_rhs30" localSheetId="3" hidden="1">1</definedName>
    <definedName name="solver_rhs31" localSheetId="4" hidden="1">0</definedName>
    <definedName name="solver_rhs31" localSheetId="3" hidden="1">0</definedName>
    <definedName name="solver_rhs32" localSheetId="4" hidden="1">1</definedName>
    <definedName name="solver_rhs32" localSheetId="3" hidden="1">1</definedName>
    <definedName name="solver_rhs33" localSheetId="4" hidden="1">0</definedName>
    <definedName name="solver_rhs33" localSheetId="3" hidden="1">0</definedName>
    <definedName name="solver_rhs34" localSheetId="4" hidden="1">1</definedName>
    <definedName name="solver_rhs34" localSheetId="3" hidden="1">1</definedName>
    <definedName name="solver_rhs35" localSheetId="4" hidden="1">0</definedName>
    <definedName name="solver_rhs35" localSheetId="3" hidden="1">0</definedName>
    <definedName name="solver_rhs36" localSheetId="4" hidden="1">1</definedName>
    <definedName name="solver_rhs36" localSheetId="3" hidden="1">1</definedName>
    <definedName name="solver_rhs37" localSheetId="4" hidden="1">0</definedName>
    <definedName name="solver_rhs37" localSheetId="3" hidden="1">0</definedName>
    <definedName name="solver_rhs38" localSheetId="4" hidden="1">1</definedName>
    <definedName name="solver_rhs38" localSheetId="3" hidden="1">1</definedName>
    <definedName name="solver_rhs39" localSheetId="4" hidden="1">0</definedName>
    <definedName name="solver_rhs39" localSheetId="3" hidden="1">0</definedName>
    <definedName name="solver_rhs4" localSheetId="4" hidden="1">1</definedName>
    <definedName name="solver_rhs4" localSheetId="3" hidden="1">1</definedName>
    <definedName name="solver_rhs40" localSheetId="4" hidden="1">1</definedName>
    <definedName name="solver_rhs40" localSheetId="3" hidden="1">1</definedName>
    <definedName name="solver_rhs41" localSheetId="4" hidden="1">0</definedName>
    <definedName name="solver_rhs41" localSheetId="3" hidden="1">0</definedName>
    <definedName name="solver_rhs42" localSheetId="4" hidden="1">1</definedName>
    <definedName name="solver_rhs42" localSheetId="3" hidden="1">1</definedName>
    <definedName name="solver_rhs43" localSheetId="4" hidden="1">0</definedName>
    <definedName name="solver_rhs43" localSheetId="3" hidden="1">0</definedName>
    <definedName name="solver_rhs44" localSheetId="4" hidden="1">1</definedName>
    <definedName name="solver_rhs44" localSheetId="3" hidden="1">1</definedName>
    <definedName name="solver_rhs45" localSheetId="4" hidden="1">0</definedName>
    <definedName name="solver_rhs45" localSheetId="3" hidden="1">0</definedName>
    <definedName name="solver_rhs46" localSheetId="4" hidden="1">1</definedName>
    <definedName name="solver_rhs46" localSheetId="3" hidden="1">1</definedName>
    <definedName name="solver_rhs47" localSheetId="4" hidden="1">0</definedName>
    <definedName name="solver_rhs47" localSheetId="3" hidden="1">0</definedName>
    <definedName name="solver_rhs48" localSheetId="4" hidden="1">1</definedName>
    <definedName name="solver_rhs48" localSheetId="3" hidden="1">1</definedName>
    <definedName name="solver_rhs49" localSheetId="4" hidden="1">0</definedName>
    <definedName name="solver_rhs49" localSheetId="3" hidden="1">0</definedName>
    <definedName name="solver_rhs5" localSheetId="4" hidden="1">0</definedName>
    <definedName name="solver_rhs5" localSheetId="3" hidden="1">0</definedName>
    <definedName name="solver_rhs50" localSheetId="4" hidden="1">1</definedName>
    <definedName name="solver_rhs50" localSheetId="3" hidden="1">1</definedName>
    <definedName name="solver_rhs51" localSheetId="4" hidden="1">0</definedName>
    <definedName name="solver_rhs51" localSheetId="3" hidden="1">0</definedName>
    <definedName name="solver_rhs52" localSheetId="4" hidden="1">1</definedName>
    <definedName name="solver_rhs52" localSheetId="3" hidden="1">1</definedName>
    <definedName name="solver_rhs53" localSheetId="4" hidden="1">0</definedName>
    <definedName name="solver_rhs53" localSheetId="3" hidden="1">0</definedName>
    <definedName name="solver_rhs54" localSheetId="4" hidden="1">1</definedName>
    <definedName name="solver_rhs54" localSheetId="3" hidden="1">1</definedName>
    <definedName name="solver_rhs55" localSheetId="4" hidden="1">0</definedName>
    <definedName name="solver_rhs55" localSheetId="3" hidden="1">0</definedName>
    <definedName name="solver_rhs56" localSheetId="4" hidden="1">1</definedName>
    <definedName name="solver_rhs56" localSheetId="3" hidden="1">1</definedName>
    <definedName name="solver_rhs57" localSheetId="4" hidden="1">0</definedName>
    <definedName name="solver_rhs57" localSheetId="3" hidden="1">0</definedName>
    <definedName name="solver_rhs58" localSheetId="4" hidden="1">1</definedName>
    <definedName name="solver_rhs58" localSheetId="3" hidden="1">1</definedName>
    <definedName name="solver_rhs59" localSheetId="4" hidden="1">0</definedName>
    <definedName name="solver_rhs59" localSheetId="3" hidden="1">0</definedName>
    <definedName name="solver_rhs6" localSheetId="4" hidden="1">1</definedName>
    <definedName name="solver_rhs6" localSheetId="3" hidden="1">1</definedName>
    <definedName name="solver_rhs60" localSheetId="4" hidden="1">1</definedName>
    <definedName name="solver_rhs60" localSheetId="3" hidden="1">1</definedName>
    <definedName name="solver_rhs61" localSheetId="4" hidden="1">0</definedName>
    <definedName name="solver_rhs61" localSheetId="3" hidden="1">0</definedName>
    <definedName name="solver_rhs62" localSheetId="4" hidden="1">1</definedName>
    <definedName name="solver_rhs62" localSheetId="3" hidden="1">1</definedName>
    <definedName name="solver_rhs63" localSheetId="4" hidden="1">0</definedName>
    <definedName name="solver_rhs63" localSheetId="3" hidden="1">0</definedName>
    <definedName name="solver_rhs64" localSheetId="4" hidden="1">1</definedName>
    <definedName name="solver_rhs64" localSheetId="3" hidden="1">1</definedName>
    <definedName name="solver_rhs65" localSheetId="4" hidden="1">0</definedName>
    <definedName name="solver_rhs65" localSheetId="3" hidden="1">0</definedName>
    <definedName name="solver_rhs66" localSheetId="4" hidden="1">1</definedName>
    <definedName name="solver_rhs66" localSheetId="3" hidden="1">1</definedName>
    <definedName name="solver_rhs67" localSheetId="4" hidden="1">0</definedName>
    <definedName name="solver_rhs67" localSheetId="3" hidden="1">0</definedName>
    <definedName name="solver_rhs68" localSheetId="4" hidden="1">1</definedName>
    <definedName name="solver_rhs68" localSheetId="3" hidden="1">1</definedName>
    <definedName name="solver_rhs69" localSheetId="4" hidden="1">0</definedName>
    <definedName name="solver_rhs69" localSheetId="3" hidden="1">0</definedName>
    <definedName name="solver_rhs7" localSheetId="4" hidden="1">0</definedName>
    <definedName name="solver_rhs7" localSheetId="3" hidden="1">0</definedName>
    <definedName name="solver_rhs70" localSheetId="4" hidden="1">1</definedName>
    <definedName name="solver_rhs70" localSheetId="3" hidden="1">1</definedName>
    <definedName name="solver_rhs71" localSheetId="4" hidden="1">0</definedName>
    <definedName name="solver_rhs71" localSheetId="3" hidden="1">0</definedName>
    <definedName name="solver_rhs72" localSheetId="4" hidden="1">1</definedName>
    <definedName name="solver_rhs72" localSheetId="3" hidden="1">1</definedName>
    <definedName name="solver_rhs73" localSheetId="4" hidden="1">0</definedName>
    <definedName name="solver_rhs73" localSheetId="3" hidden="1">0</definedName>
    <definedName name="solver_rhs74" localSheetId="4" hidden="1">1</definedName>
    <definedName name="solver_rhs74" localSheetId="3" hidden="1">1</definedName>
    <definedName name="solver_rhs75" localSheetId="4" hidden="1">0</definedName>
    <definedName name="solver_rhs75" localSheetId="3" hidden="1">0</definedName>
    <definedName name="solver_rhs76" localSheetId="4" hidden="1">1</definedName>
    <definedName name="solver_rhs76" localSheetId="3" hidden="1">1</definedName>
    <definedName name="solver_rhs77" localSheetId="4" hidden="1">0</definedName>
    <definedName name="solver_rhs77" localSheetId="3" hidden="1">0</definedName>
    <definedName name="solver_rhs78" localSheetId="4" hidden="1">1</definedName>
    <definedName name="solver_rhs78" localSheetId="3" hidden="1">1</definedName>
    <definedName name="solver_rhs79" localSheetId="4" hidden="1">0</definedName>
    <definedName name="solver_rhs79" localSheetId="3" hidden="1">0</definedName>
    <definedName name="solver_rhs8" localSheetId="4" hidden="1">1</definedName>
    <definedName name="solver_rhs8" localSheetId="3" hidden="1">1</definedName>
    <definedName name="solver_rhs80" localSheetId="4" hidden="1">1</definedName>
    <definedName name="solver_rhs80" localSheetId="3" hidden="1">1</definedName>
    <definedName name="solver_rhs81" localSheetId="4" hidden="1">0</definedName>
    <definedName name="solver_rhs81" localSheetId="3" hidden="1">0</definedName>
    <definedName name="solver_rhs82" localSheetId="4" hidden="1">1</definedName>
    <definedName name="solver_rhs82" localSheetId="3" hidden="1">1</definedName>
    <definedName name="solver_rhs83" localSheetId="4" hidden="1">0</definedName>
    <definedName name="solver_rhs83" localSheetId="3" hidden="1">0</definedName>
    <definedName name="solver_rhs84" localSheetId="4" hidden="1">1</definedName>
    <definedName name="solver_rhs84" localSheetId="3" hidden="1">1</definedName>
    <definedName name="solver_rhs85" localSheetId="4" hidden="1">0</definedName>
    <definedName name="solver_rhs85" localSheetId="3" hidden="1">0</definedName>
    <definedName name="solver_rhs86" localSheetId="4" hidden="1">1</definedName>
    <definedName name="solver_rhs86" localSheetId="3" hidden="1">1</definedName>
    <definedName name="solver_rhs87" localSheetId="4" hidden="1">0</definedName>
    <definedName name="solver_rhs87" localSheetId="3" hidden="1">0</definedName>
    <definedName name="solver_rhs88" localSheetId="4" hidden="1">1</definedName>
    <definedName name="solver_rhs88" localSheetId="3" hidden="1">1</definedName>
    <definedName name="solver_rhs89" localSheetId="4" hidden="1">0</definedName>
    <definedName name="solver_rhs89" localSheetId="3" hidden="1">0</definedName>
    <definedName name="solver_rhs9" localSheetId="4" hidden="1">0</definedName>
    <definedName name="solver_rhs9" localSheetId="3" hidden="1">0</definedName>
    <definedName name="solver_rhs90" localSheetId="4" hidden="1">1</definedName>
    <definedName name="solver_rhs90" localSheetId="3" hidden="1">1</definedName>
    <definedName name="solver_rhs91" localSheetId="4" hidden="1">0</definedName>
    <definedName name="solver_rhs91" localSheetId="3" hidden="1">0</definedName>
    <definedName name="solver_rhs92" localSheetId="4" hidden="1">1</definedName>
    <definedName name="solver_rhs92" localSheetId="3" hidden="1">1</definedName>
    <definedName name="solver_rhs93" localSheetId="4" hidden="1">0</definedName>
    <definedName name="solver_rhs93" localSheetId="3" hidden="1">0</definedName>
    <definedName name="solver_rhs94" localSheetId="4" hidden="1">1</definedName>
    <definedName name="solver_rhs94" localSheetId="3" hidden="1">1</definedName>
    <definedName name="solver_rhs95" localSheetId="4" hidden="1">0</definedName>
    <definedName name="solver_rhs95" localSheetId="3" hidden="1">0</definedName>
    <definedName name="solver_rhs96" localSheetId="4" hidden="1">1</definedName>
    <definedName name="solver_rhs96" localSheetId="3" hidden="1">1</definedName>
    <definedName name="solver_rhs97" localSheetId="4" hidden="1">0</definedName>
    <definedName name="solver_rhs97" localSheetId="3" hidden="1">0</definedName>
    <definedName name="solver_rhs98" localSheetId="4" hidden="1">1</definedName>
    <definedName name="solver_rhs98" localSheetId="3" hidden="1">1</definedName>
    <definedName name="solver_rhs99" localSheetId="4" hidden="1">0</definedName>
    <definedName name="solver_rhs99" localSheetId="3" hidden="1">0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1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  <definedName name="SSE_adaptive">calcAdaptive!$K$2</definedName>
    <definedName name="SSE_simple">calcSimple!$G$2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2" i="3"/>
  <c r="D2" i="5"/>
  <c r="E2" i="5"/>
  <c r="F2" i="5"/>
  <c r="G2" i="5"/>
  <c r="H2" i="5"/>
  <c r="I2" i="5"/>
  <c r="J2" i="5"/>
  <c r="K2" i="5"/>
  <c r="L2" i="5"/>
  <c r="M2" i="5"/>
  <c r="C2" i="5"/>
  <c r="C2" i="4"/>
  <c r="D2" i="4"/>
  <c r="F3" i="4"/>
  <c r="G3" i="4"/>
  <c r="C3" i="4"/>
  <c r="C4" i="4"/>
  <c r="D3" i="4"/>
  <c r="F4" i="4"/>
  <c r="E3" i="4"/>
  <c r="E4" i="4"/>
  <c r="G4" i="4"/>
  <c r="C5" i="4"/>
  <c r="D4" i="4"/>
  <c r="F5" i="4"/>
  <c r="E5" i="4"/>
  <c r="G5" i="4"/>
  <c r="C6" i="4"/>
  <c r="D5" i="4"/>
  <c r="F6" i="4"/>
  <c r="E6" i="4"/>
  <c r="G6" i="4"/>
  <c r="C7" i="4"/>
  <c r="D6" i="4"/>
  <c r="F7" i="4"/>
  <c r="E7" i="4"/>
  <c r="G7" i="4"/>
  <c r="C8" i="4"/>
  <c r="D7" i="4"/>
  <c r="F8" i="4"/>
  <c r="E8" i="4"/>
  <c r="G8" i="4"/>
  <c r="C9" i="4"/>
  <c r="D8" i="4"/>
  <c r="F9" i="4"/>
  <c r="E9" i="4"/>
  <c r="G9" i="4"/>
  <c r="C10" i="4"/>
  <c r="D9" i="4"/>
  <c r="F10" i="4"/>
  <c r="E10" i="4"/>
  <c r="G10" i="4"/>
  <c r="C11" i="4"/>
  <c r="D10" i="4"/>
  <c r="F11" i="4"/>
  <c r="E11" i="4"/>
  <c r="G11" i="4"/>
  <c r="C12" i="4"/>
  <c r="D11" i="4"/>
  <c r="F12" i="4"/>
  <c r="E12" i="4"/>
  <c r="G12" i="4"/>
  <c r="C13" i="4"/>
  <c r="D12" i="4"/>
  <c r="F13" i="4"/>
  <c r="E13" i="4"/>
  <c r="G13" i="4"/>
  <c r="C14" i="4"/>
  <c r="D13" i="4"/>
  <c r="F14" i="4"/>
  <c r="E14" i="4"/>
  <c r="G14" i="4"/>
  <c r="C15" i="4"/>
  <c r="D14" i="4"/>
  <c r="F15" i="4"/>
  <c r="E15" i="4"/>
  <c r="G15" i="4"/>
  <c r="C16" i="4"/>
  <c r="D15" i="4"/>
  <c r="F16" i="4"/>
  <c r="E16" i="4"/>
  <c r="G16" i="4"/>
  <c r="C17" i="4"/>
  <c r="D16" i="4"/>
  <c r="F17" i="4"/>
  <c r="E17" i="4"/>
  <c r="G17" i="4"/>
  <c r="C18" i="4"/>
  <c r="D17" i="4"/>
  <c r="F18" i="4"/>
  <c r="E18" i="4"/>
  <c r="G18" i="4"/>
  <c r="C19" i="4"/>
  <c r="D18" i="4"/>
  <c r="F19" i="4"/>
  <c r="E19" i="4"/>
  <c r="G19" i="4"/>
  <c r="C20" i="4"/>
  <c r="D19" i="4"/>
  <c r="F20" i="4"/>
  <c r="E20" i="4"/>
  <c r="G20" i="4"/>
  <c r="C21" i="4"/>
  <c r="D20" i="4"/>
  <c r="F21" i="4"/>
  <c r="E21" i="4"/>
  <c r="G21" i="4"/>
  <c r="C22" i="4"/>
  <c r="D21" i="4"/>
  <c r="F22" i="4"/>
  <c r="E22" i="4"/>
  <c r="G22" i="4"/>
  <c r="C23" i="4"/>
  <c r="D22" i="4"/>
  <c r="F23" i="4"/>
  <c r="E23" i="4"/>
  <c r="G23" i="4"/>
  <c r="C24" i="4"/>
  <c r="D23" i="4"/>
  <c r="F24" i="4"/>
  <c r="E24" i="4"/>
  <c r="G24" i="4"/>
  <c r="C25" i="4"/>
  <c r="D24" i="4"/>
  <c r="F25" i="4"/>
  <c r="E25" i="4"/>
  <c r="G25" i="4"/>
  <c r="C26" i="4"/>
  <c r="D25" i="4"/>
  <c r="F26" i="4"/>
  <c r="E26" i="4"/>
  <c r="G26" i="4"/>
  <c r="C27" i="4"/>
  <c r="D26" i="4"/>
  <c r="F27" i="4"/>
  <c r="E27" i="4"/>
  <c r="G27" i="4"/>
  <c r="C28" i="4"/>
  <c r="D27" i="4"/>
  <c r="F28" i="4"/>
  <c r="E28" i="4"/>
  <c r="G28" i="4"/>
  <c r="C29" i="4"/>
  <c r="D28" i="4"/>
  <c r="F29" i="4"/>
  <c r="E29" i="4"/>
  <c r="G29" i="4"/>
  <c r="C30" i="4"/>
  <c r="D29" i="4"/>
  <c r="F30" i="4"/>
  <c r="E30" i="4"/>
  <c r="G30" i="4"/>
  <c r="C31" i="4"/>
  <c r="D30" i="4"/>
  <c r="F31" i="4"/>
  <c r="E31" i="4"/>
  <c r="G31" i="4"/>
  <c r="C32" i="4"/>
  <c r="D31" i="4"/>
  <c r="F32" i="4"/>
  <c r="E32" i="4"/>
  <c r="G32" i="4"/>
  <c r="C33" i="4"/>
  <c r="D32" i="4"/>
  <c r="F33" i="4"/>
  <c r="E33" i="4"/>
  <c r="G33" i="4"/>
  <c r="C34" i="4"/>
  <c r="D33" i="4"/>
  <c r="F34" i="4"/>
  <c r="E34" i="4"/>
  <c r="G34" i="4"/>
  <c r="C35" i="4"/>
  <c r="D34" i="4"/>
  <c r="F35" i="4"/>
  <c r="E35" i="4"/>
  <c r="G35" i="4"/>
  <c r="C36" i="4"/>
  <c r="D35" i="4"/>
  <c r="F36" i="4"/>
  <c r="E36" i="4"/>
  <c r="G36" i="4"/>
  <c r="C37" i="4"/>
  <c r="D36" i="4"/>
  <c r="F37" i="4"/>
  <c r="E37" i="4"/>
  <c r="G37" i="4"/>
  <c r="C38" i="4"/>
  <c r="D37" i="4"/>
  <c r="F38" i="4"/>
  <c r="E38" i="4"/>
  <c r="G38" i="4"/>
  <c r="C39" i="4"/>
  <c r="D38" i="4"/>
  <c r="F39" i="4"/>
  <c r="E39" i="4"/>
  <c r="G39" i="4"/>
  <c r="C40" i="4"/>
  <c r="D39" i="4"/>
  <c r="F40" i="4"/>
  <c r="E40" i="4"/>
  <c r="G40" i="4"/>
  <c r="C41" i="4"/>
  <c r="D40" i="4"/>
  <c r="F41" i="4"/>
  <c r="E41" i="4"/>
  <c r="G41" i="4"/>
  <c r="C42" i="4"/>
  <c r="D41" i="4"/>
  <c r="F42" i="4"/>
  <c r="E42" i="4"/>
  <c r="G42" i="4"/>
  <c r="C43" i="4"/>
  <c r="D42" i="4"/>
  <c r="F43" i="4"/>
  <c r="E43" i="4"/>
  <c r="G43" i="4"/>
  <c r="C44" i="4"/>
  <c r="D43" i="4"/>
  <c r="F44" i="4"/>
  <c r="E44" i="4"/>
  <c r="G44" i="4"/>
  <c r="C45" i="4"/>
  <c r="D44" i="4"/>
  <c r="F45" i="4"/>
  <c r="E45" i="4"/>
  <c r="G45" i="4"/>
  <c r="C46" i="4"/>
  <c r="D45" i="4"/>
  <c r="F46" i="4"/>
  <c r="E46" i="4"/>
  <c r="G46" i="4"/>
  <c r="C47" i="4"/>
  <c r="D46" i="4"/>
  <c r="F47" i="4"/>
  <c r="E47" i="4"/>
  <c r="G47" i="4"/>
  <c r="C48" i="4"/>
  <c r="D47" i="4"/>
  <c r="F48" i="4"/>
  <c r="E48" i="4"/>
  <c r="G48" i="4"/>
  <c r="C49" i="4"/>
  <c r="D48" i="4"/>
  <c r="F49" i="4"/>
  <c r="E49" i="4"/>
  <c r="G49" i="4"/>
  <c r="C50" i="4"/>
  <c r="D49" i="4"/>
  <c r="F50" i="4"/>
  <c r="E50" i="4"/>
  <c r="G50" i="4"/>
  <c r="C51" i="4"/>
  <c r="D50" i="4"/>
  <c r="F51" i="4"/>
  <c r="E51" i="4"/>
  <c r="G51" i="4"/>
  <c r="C52" i="4"/>
  <c r="D51" i="4"/>
  <c r="F52" i="4"/>
  <c r="E52" i="4"/>
  <c r="G52" i="4"/>
  <c r="C53" i="4"/>
  <c r="D52" i="4"/>
  <c r="F53" i="4"/>
  <c r="E53" i="4"/>
  <c r="G53" i="4"/>
  <c r="C54" i="4"/>
  <c r="D53" i="4"/>
  <c r="F54" i="4"/>
  <c r="E54" i="4"/>
  <c r="G54" i="4"/>
  <c r="C55" i="4"/>
  <c r="D54" i="4"/>
  <c r="F55" i="4"/>
  <c r="E55" i="4"/>
  <c r="G55" i="4"/>
  <c r="C56" i="4"/>
  <c r="D55" i="4"/>
  <c r="F56" i="4"/>
  <c r="E56" i="4"/>
  <c r="G56" i="4"/>
  <c r="C57" i="4"/>
  <c r="D56" i="4"/>
  <c r="F57" i="4"/>
  <c r="E57" i="4"/>
  <c r="G57" i="4"/>
  <c r="C58" i="4"/>
  <c r="D57" i="4"/>
  <c r="F58" i="4"/>
  <c r="E58" i="4"/>
  <c r="G58" i="4"/>
  <c r="C59" i="4"/>
  <c r="D58" i="4"/>
  <c r="F59" i="4"/>
  <c r="E59" i="4"/>
  <c r="G59" i="4"/>
  <c r="C60" i="4"/>
  <c r="D59" i="4"/>
  <c r="F60" i="4"/>
  <c r="E60" i="4"/>
  <c r="G60" i="4"/>
  <c r="C61" i="4"/>
  <c r="D60" i="4"/>
  <c r="F61" i="4"/>
  <c r="E61" i="4"/>
  <c r="G61" i="4"/>
  <c r="C62" i="4"/>
  <c r="D61" i="4"/>
  <c r="F62" i="4"/>
  <c r="E62" i="4"/>
  <c r="G62" i="4"/>
  <c r="C63" i="4"/>
  <c r="D62" i="4"/>
  <c r="F63" i="4"/>
  <c r="E63" i="4"/>
  <c r="G63" i="4"/>
  <c r="C64" i="4"/>
  <c r="D63" i="4"/>
  <c r="F64" i="4"/>
  <c r="E64" i="4"/>
  <c r="G64" i="4"/>
  <c r="C65" i="4"/>
  <c r="D64" i="4"/>
  <c r="F65" i="4"/>
  <c r="E65" i="4"/>
  <c r="G65" i="4"/>
  <c r="C66" i="4"/>
  <c r="D65" i="4"/>
  <c r="F66" i="4"/>
  <c r="E66" i="4"/>
  <c r="G66" i="4"/>
  <c r="C67" i="4"/>
  <c r="D66" i="4"/>
  <c r="F67" i="4"/>
  <c r="E67" i="4"/>
  <c r="G67" i="4"/>
  <c r="C68" i="4"/>
  <c r="D67" i="4"/>
  <c r="F68" i="4"/>
  <c r="E68" i="4"/>
  <c r="G68" i="4"/>
  <c r="C69" i="4"/>
  <c r="D68" i="4"/>
  <c r="F69" i="4"/>
  <c r="E69" i="4"/>
  <c r="G69" i="4"/>
  <c r="C70" i="4"/>
  <c r="D69" i="4"/>
  <c r="F70" i="4"/>
  <c r="E70" i="4"/>
  <c r="G70" i="4"/>
  <c r="C71" i="4"/>
  <c r="D70" i="4"/>
  <c r="F71" i="4"/>
  <c r="E71" i="4"/>
  <c r="G71" i="4"/>
  <c r="C72" i="4"/>
  <c r="D71" i="4"/>
  <c r="F72" i="4"/>
  <c r="E72" i="4"/>
  <c r="G72" i="4"/>
  <c r="C73" i="4"/>
  <c r="D72" i="4"/>
  <c r="F73" i="4"/>
  <c r="E73" i="4"/>
  <c r="G73" i="4"/>
  <c r="C74" i="4"/>
  <c r="D73" i="4"/>
  <c r="F74" i="4"/>
  <c r="E74" i="4"/>
  <c r="G74" i="4"/>
  <c r="C75" i="4"/>
  <c r="D74" i="4"/>
  <c r="F75" i="4"/>
  <c r="E75" i="4"/>
  <c r="G75" i="4"/>
  <c r="C76" i="4"/>
  <c r="D75" i="4"/>
  <c r="F76" i="4"/>
  <c r="E76" i="4"/>
  <c r="G76" i="4"/>
  <c r="C77" i="4"/>
  <c r="D76" i="4"/>
  <c r="F77" i="4"/>
  <c r="E77" i="4"/>
  <c r="G77" i="4"/>
  <c r="C78" i="4"/>
  <c r="D77" i="4"/>
  <c r="F78" i="4"/>
  <c r="E78" i="4"/>
  <c r="G78" i="4"/>
  <c r="C79" i="4"/>
  <c r="D78" i="4"/>
  <c r="F79" i="4"/>
  <c r="E79" i="4"/>
  <c r="G79" i="4"/>
  <c r="C80" i="4"/>
  <c r="D79" i="4"/>
  <c r="F80" i="4"/>
  <c r="E80" i="4"/>
  <c r="G80" i="4"/>
  <c r="C81" i="4"/>
  <c r="D80" i="4"/>
  <c r="F81" i="4"/>
  <c r="E81" i="4"/>
  <c r="G81" i="4"/>
  <c r="C82" i="4"/>
  <c r="D81" i="4"/>
  <c r="F82" i="4"/>
  <c r="E82" i="4"/>
  <c r="G82" i="4"/>
  <c r="C83" i="4"/>
  <c r="D82" i="4"/>
  <c r="F83" i="4"/>
  <c r="E83" i="4"/>
  <c r="G83" i="4"/>
  <c r="C84" i="4"/>
  <c r="D83" i="4"/>
  <c r="F84" i="4"/>
  <c r="E84" i="4"/>
  <c r="G84" i="4"/>
  <c r="C85" i="4"/>
  <c r="D84" i="4"/>
  <c r="F85" i="4"/>
  <c r="E85" i="4"/>
  <c r="G85" i="4"/>
  <c r="C86" i="4"/>
  <c r="D85" i="4"/>
  <c r="F86" i="4"/>
  <c r="E86" i="4"/>
  <c r="G86" i="4"/>
  <c r="C87" i="4"/>
  <c r="D86" i="4"/>
  <c r="F87" i="4"/>
  <c r="E87" i="4"/>
  <c r="G87" i="4"/>
  <c r="C88" i="4"/>
  <c r="D87" i="4"/>
  <c r="F88" i="4"/>
  <c r="E88" i="4"/>
  <c r="G88" i="4"/>
  <c r="C89" i="4"/>
  <c r="D88" i="4"/>
  <c r="F89" i="4"/>
  <c r="E89" i="4"/>
  <c r="G89" i="4"/>
  <c r="C90" i="4"/>
  <c r="D89" i="4"/>
  <c r="F90" i="4"/>
  <c r="E90" i="4"/>
  <c r="G90" i="4"/>
  <c r="C91" i="4"/>
  <c r="D90" i="4"/>
  <c r="F91" i="4"/>
  <c r="E91" i="4"/>
  <c r="G91" i="4"/>
  <c r="C92" i="4"/>
  <c r="D91" i="4"/>
  <c r="F92" i="4"/>
  <c r="E92" i="4"/>
  <c r="G92" i="4"/>
  <c r="C93" i="4"/>
  <c r="D92" i="4"/>
  <c r="F93" i="4"/>
  <c r="E93" i="4"/>
  <c r="G93" i="4"/>
  <c r="C94" i="4"/>
  <c r="D93" i="4"/>
  <c r="F94" i="4"/>
  <c r="E94" i="4"/>
  <c r="G94" i="4"/>
  <c r="C95" i="4"/>
  <c r="D94" i="4"/>
  <c r="F95" i="4"/>
  <c r="E95" i="4"/>
  <c r="G95" i="4"/>
  <c r="C96" i="4"/>
  <c r="D95" i="4"/>
  <c r="F96" i="4"/>
  <c r="E96" i="4"/>
  <c r="G96" i="4"/>
  <c r="C97" i="4"/>
  <c r="D96" i="4"/>
  <c r="F97" i="4"/>
  <c r="E97" i="4"/>
  <c r="G97" i="4"/>
  <c r="C98" i="4"/>
  <c r="D97" i="4"/>
  <c r="F98" i="4"/>
  <c r="E98" i="4"/>
  <c r="G98" i="4"/>
  <c r="C99" i="4"/>
  <c r="D98" i="4"/>
  <c r="F99" i="4"/>
  <c r="E99" i="4"/>
  <c r="G99" i="4"/>
  <c r="C100" i="4"/>
  <c r="D99" i="4"/>
  <c r="F100" i="4"/>
  <c r="E100" i="4"/>
  <c r="G100" i="4"/>
  <c r="C101" i="4"/>
  <c r="D100" i="4"/>
  <c r="F101" i="4"/>
  <c r="E101" i="4"/>
  <c r="G101" i="4"/>
  <c r="C102" i="4"/>
  <c r="D101" i="4"/>
  <c r="F102" i="4"/>
  <c r="E102" i="4"/>
  <c r="G102" i="4"/>
  <c r="C103" i="4"/>
  <c r="D102" i="4"/>
  <c r="F103" i="4"/>
  <c r="E103" i="4"/>
  <c r="G103" i="4"/>
  <c r="C104" i="4"/>
  <c r="D103" i="4"/>
  <c r="F104" i="4"/>
  <c r="E104" i="4"/>
  <c r="G104" i="4"/>
  <c r="C105" i="4"/>
  <c r="D104" i="4"/>
  <c r="F105" i="4"/>
  <c r="E105" i="4"/>
  <c r="G105" i="4"/>
  <c r="C106" i="4"/>
  <c r="A11" i="5"/>
  <c r="E105" i="3"/>
  <c r="D105" i="3"/>
  <c r="E104" i="3"/>
  <c r="D104" i="3"/>
  <c r="E103" i="3"/>
  <c r="D103" i="3"/>
  <c r="E102" i="3"/>
  <c r="D102" i="3"/>
  <c r="E101" i="3"/>
  <c r="D101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I105" i="4"/>
  <c r="H105" i="4"/>
  <c r="D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G2" i="4"/>
  <c r="D2" i="3"/>
  <c r="D3" i="3"/>
  <c r="F2" i="3"/>
  <c r="H2" i="4"/>
  <c r="H3" i="4"/>
  <c r="J2" i="4"/>
  <c r="I3" i="4"/>
  <c r="I2" i="4"/>
  <c r="K2" i="4"/>
  <c r="E3" i="3"/>
  <c r="E2" i="3"/>
  <c r="G2" i="3"/>
</calcChain>
</file>

<file path=xl/sharedStrings.xml><?xml version="1.0" encoding="utf-8"?>
<sst xmlns="http://schemas.openxmlformats.org/spreadsheetml/2006/main" count="25" uniqueCount="16">
  <si>
    <t>Week</t>
  </si>
  <si>
    <t>Sold</t>
  </si>
  <si>
    <t>Simple</t>
  </si>
  <si>
    <t>alpha</t>
  </si>
  <si>
    <t>APE</t>
  </si>
  <si>
    <t>MAPE</t>
  </si>
  <si>
    <t>Adaptive</t>
  </si>
  <si>
    <t>SqErr</t>
  </si>
  <si>
    <t>SSE</t>
  </si>
  <si>
    <t>e_t</t>
  </si>
  <si>
    <t>Q_t</t>
  </si>
  <si>
    <t>D_t</t>
  </si>
  <si>
    <t>gamma</t>
  </si>
  <si>
    <t>omega</t>
  </si>
  <si>
    <t>Recorded Sales</t>
  </si>
  <si>
    <t>Simple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</si>
</sst>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Start!$A$2</c:f>
              <c:strCache>
                <c:ptCount val="1"/>
                <c:pt idx="0">
                  <c:v>Recorded Sales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cat>
            <c:numRef>
              <c:f>Start!$B$1:$L$1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Start!$B$2:$L$2</c:f>
              <c:numCache>
                <c:formatCode>0</c:formatCode>
                <c:ptCount val="11"/>
                <c:pt idx="0">
                  <c:v>1863.9</c:v>
                </c:pt>
                <c:pt idx="1">
                  <c:v>1507.5</c:v>
                </c:pt>
                <c:pt idx="2">
                  <c:v>1621.8</c:v>
                </c:pt>
                <c:pt idx="3">
                  <c:v>1635.3</c:v>
                </c:pt>
                <c:pt idx="4">
                  <c:v>1503</c:v>
                </c:pt>
                <c:pt idx="5">
                  <c:v>1799.1000000000001</c:v>
                </c:pt>
                <c:pt idx="6">
                  <c:v>2171.7000000000003</c:v>
                </c:pt>
                <c:pt idx="7">
                  <c:v>1475.1000000000001</c:v>
                </c:pt>
                <c:pt idx="8">
                  <c:v>1984.5</c:v>
                </c:pt>
                <c:pt idx="9">
                  <c:v>1476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Start!$A$3</c:f>
              <c:strCache>
                <c:ptCount val="1"/>
                <c:pt idx="0">
                  <c:v>Simple Forecast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'Error Bars'!$C$2:$M$2</c:f>
                <c:numCache>
                  <c:formatCode>General</c:formatCode>
                  <c:ptCount val="11"/>
                  <c:pt idx="0">
                    <c:v>295.53322752466681</c:v>
                  </c:pt>
                  <c:pt idx="1">
                    <c:v>293.6127259209685</c:v>
                  </c:pt>
                  <c:pt idx="2">
                    <c:v>280.99810177736214</c:v>
                  </c:pt>
                  <c:pt idx="3">
                    <c:v>263.17056012720894</c:v>
                  </c:pt>
                  <c:pt idx="4">
                    <c:v>249.97534010036151</c:v>
                  </c:pt>
                  <c:pt idx="5">
                    <c:v>232.32327543237722</c:v>
                  </c:pt>
                  <c:pt idx="6">
                    <c:v>247.45322793664982</c:v>
                  </c:pt>
                  <c:pt idx="7">
                    <c:v>274.79635692633769</c:v>
                  </c:pt>
                  <c:pt idx="8">
                    <c:v>267.90067610912041</c:v>
                  </c:pt>
                  <c:pt idx="9">
                    <c:v>272.88653780630005</c:v>
                  </c:pt>
                  <c:pt idx="10">
                    <c:v>260.1276514516465</c:v>
                  </c:pt>
                </c:numCache>
              </c:numRef>
            </c:plus>
            <c:minus>
              <c:numRef>
                <c:f>'Error Bars'!$C$2:$M$2</c:f>
                <c:numCache>
                  <c:formatCode>General</c:formatCode>
                  <c:ptCount val="11"/>
                  <c:pt idx="0">
                    <c:v>295.53322752466681</c:v>
                  </c:pt>
                  <c:pt idx="1">
                    <c:v>293.6127259209685</c:v>
                  </c:pt>
                  <c:pt idx="2">
                    <c:v>280.99810177736214</c:v>
                  </c:pt>
                  <c:pt idx="3">
                    <c:v>263.17056012720894</c:v>
                  </c:pt>
                  <c:pt idx="4">
                    <c:v>249.97534010036151</c:v>
                  </c:pt>
                  <c:pt idx="5">
                    <c:v>232.32327543237722</c:v>
                  </c:pt>
                  <c:pt idx="6">
                    <c:v>247.45322793664982</c:v>
                  </c:pt>
                  <c:pt idx="7">
                    <c:v>274.79635692633769</c:v>
                  </c:pt>
                  <c:pt idx="8">
                    <c:v>267.90067610912041</c:v>
                  </c:pt>
                  <c:pt idx="9">
                    <c:v>272.88653780630005</c:v>
                  </c:pt>
                  <c:pt idx="10">
                    <c:v>260.1276514516465</c:v>
                  </c:pt>
                </c:numCache>
              </c:numRef>
            </c:minus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numRef>
              <c:f>Start!$B$1:$L$1</c:f>
              <c:numCache>
                <c:formatCode>General</c:formatCode>
                <c:ptCount val="11"/>
                <c:pt idx="0">
                  <c:v>95</c:v>
                </c:pt>
                <c:pt idx="1">
                  <c:v>96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101</c:v>
                </c:pt>
                <c:pt idx="7">
                  <c:v>102</c:v>
                </c:pt>
                <c:pt idx="8">
                  <c:v>103</c:v>
                </c:pt>
                <c:pt idx="9">
                  <c:v>104</c:v>
                </c:pt>
                <c:pt idx="10">
                  <c:v>105</c:v>
                </c:pt>
              </c:numCache>
            </c:numRef>
          </c:cat>
          <c:val>
            <c:numRef>
              <c:f>Start!$B$3:$L$3</c:f>
              <c:numCache>
                <c:formatCode>0</c:formatCode>
                <c:ptCount val="11"/>
                <c:pt idx="0">
                  <c:v>2071.1629936601971</c:v>
                </c:pt>
                <c:pt idx="1">
                  <c:v>2011.6130206401845</c:v>
                </c:pt>
                <c:pt idx="2">
                  <c:v>1866.7732870822633</c:v>
                </c:pt>
                <c:pt idx="3">
                  <c:v>1796.3885436278215</c:v>
                </c:pt>
                <c:pt idx="4">
                  <c:v>1750.1052286111665</c:v>
                </c:pt>
                <c:pt idx="5">
                  <c:v>1679.1079442574332</c:v>
                </c:pt>
                <c:pt idx="6">
                  <c:v>1713.5835810119647</c:v>
                </c:pt>
                <c:pt idx="7">
                  <c:v>1845.2077552506548</c:v>
                </c:pt>
                <c:pt idx="8">
                  <c:v>1738.8698777045656</c:v>
                </c:pt>
                <c:pt idx="9">
                  <c:v>1809.4433404211013</c:v>
                </c:pt>
                <c:pt idx="10">
                  <c:v>1713.6397356621455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880872"/>
        <c:axId val="25688400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Start!$A$4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540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</c:spPr>
                </c:marke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'Error Bars'!$B$1:$B$11</c15:sqref>
                          </c15:formulaRef>
                        </c:ext>
                      </c:extLst>
                      <c:numCache>
                        <c:formatCode>General</c:formatCode>
                        <c:ptCount val="11"/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'Error Bars'!$B$1:$B$11</c15:sqref>
                          </c15:formulaRef>
                        </c:ext>
                      </c:extLst>
                      <c:numCache>
                        <c:formatCode>General</c:formatCode>
                        <c:ptCount val="11"/>
                      </c:numCache>
                    </c:numRef>
                  </c:minus>
                  <c:spPr>
                    <a:noFill/>
                    <a:ln w="9525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round/>
                    </a:ln>
                    <a:effectLst/>
                  </c:spPr>
                </c:errBars>
                <c:cat>
                  <c:numRef>
                    <c:extLst>
                      <c:ext uri="{02D57815-91ED-43cb-92C2-25804820EDAC}">
                        <c15:formulaRef>
                          <c15:sqref>Start!$B$1:$L$1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95</c:v>
                      </c:pt>
                      <c:pt idx="1">
                        <c:v>96</c:v>
                      </c:pt>
                      <c:pt idx="2">
                        <c:v>97</c:v>
                      </c:pt>
                      <c:pt idx="3">
                        <c:v>98</c:v>
                      </c:pt>
                      <c:pt idx="4">
                        <c:v>99</c:v>
                      </c:pt>
                      <c:pt idx="5">
                        <c:v>100</c:v>
                      </c:pt>
                      <c:pt idx="6">
                        <c:v>101</c:v>
                      </c:pt>
                      <c:pt idx="7">
                        <c:v>102</c:v>
                      </c:pt>
                      <c:pt idx="8">
                        <c:v>103</c:v>
                      </c:pt>
                      <c:pt idx="9">
                        <c:v>104</c:v>
                      </c:pt>
                      <c:pt idx="10">
                        <c:v>105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Start!$B$4:$L$4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56880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 (</a:t>
                </a:r>
                <a:r>
                  <a:rPr lang="en-GB" sz="900" b="0" i="0" u="none" strike="noStrike" cap="all" baseline="0">
                    <a:effectLst/>
                  </a:rPr>
                  <a:t>in units)</a:t>
                </a:r>
                <a:r>
                  <a:rPr lang="en-GB"/>
                  <a:t> by week No.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884008"/>
        <c:crosses val="autoZero"/>
        <c:auto val="1"/>
        <c:lblAlgn val="ctr"/>
        <c:lblOffset val="100"/>
        <c:noMultiLvlLbl val="0"/>
      </c:catAx>
      <c:valAx>
        <c:axId val="25688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units</a:t>
                </a:r>
              </a:p>
            </c:rich>
          </c:tx>
          <c:layout>
            <c:manualLayout>
              <c:xMode val="edge"/>
              <c:yMode val="edge"/>
              <c:x val="6.3989393664896685E-2"/>
              <c:y val="0.4244528166415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880872"/>
        <c:crosses val="autoZero"/>
        <c:crossBetween val="between"/>
      </c:valAx>
      <c:dTable>
        <c:showHorzBorder val="0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33512</xdr:colOff>
          <xdr:row>4</xdr:row>
          <xdr:rowOff>71812</xdr:rowOff>
        </xdr:from>
        <xdr:to>
          <xdr:col>1</xdr:col>
          <xdr:colOff>421294</xdr:colOff>
          <xdr:row>7</xdr:row>
          <xdr:rowOff>76599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Motherfucker!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119686</xdr:colOff>
      <xdr:row>5</xdr:row>
      <xdr:rowOff>9574</xdr:rowOff>
    </xdr:from>
    <xdr:to>
      <xdr:col>18</xdr:col>
      <xdr:colOff>282459</xdr:colOff>
      <xdr:row>32</xdr:row>
      <xdr:rowOff>67025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3"/>
  <sheetViews>
    <sheetView tabSelected="1" workbookViewId="0">
      <selection activeCell="N3" sqref="N3"/>
    </sheetView>
  </sheetViews>
  <sheetFormatPr defaultColWidth="8.796875" defaultRowHeight="14.35" x14ac:dyDescent="0.45"/>
  <cols>
    <col min="1" max="1" width="13.3984375" customWidth="1"/>
    <col min="2" max="3" width="7.6640625" customWidth="1"/>
    <col min="4" max="5" width="7.6640625" style="3" customWidth="1"/>
    <col min="6" max="6" width="7.6640625" customWidth="1"/>
    <col min="7" max="7" width="7.6640625" style="5" customWidth="1"/>
    <col min="8" max="8" width="7.6640625" style="1" customWidth="1"/>
    <col min="9" max="12" width="7.6640625" customWidth="1"/>
    <col min="13" max="13" width="7.6640625" style="13" customWidth="1"/>
    <col min="14" max="14" width="5.59765625" style="7" bestFit="1" customWidth="1"/>
    <col min="15" max="15" width="1.6640625" style="4" bestFit="1" customWidth="1"/>
    <col min="16" max="16" width="3.73046875" style="8" bestFit="1" customWidth="1"/>
    <col min="17" max="17" width="8.796875" style="1"/>
    <col min="18" max="19" width="8.796875" style="8"/>
  </cols>
  <sheetData>
    <row r="1" spans="1:19" x14ac:dyDescent="0.45">
      <c r="A1" s="6" t="s">
        <v>0</v>
      </c>
      <c r="B1">
        <v>95</v>
      </c>
      <c r="C1">
        <v>96</v>
      </c>
      <c r="D1">
        <v>97</v>
      </c>
      <c r="E1">
        <v>98</v>
      </c>
      <c r="F1">
        <v>99</v>
      </c>
      <c r="G1">
        <v>100</v>
      </c>
      <c r="H1">
        <v>101</v>
      </c>
      <c r="I1">
        <v>102</v>
      </c>
      <c r="J1">
        <v>103</v>
      </c>
      <c r="K1">
        <v>104</v>
      </c>
      <c r="L1">
        <v>105</v>
      </c>
      <c r="R1" s="12"/>
      <c r="S1" s="12"/>
    </row>
    <row r="2" spans="1:19" x14ac:dyDescent="0.45">
      <c r="A2" s="3" t="s">
        <v>14</v>
      </c>
      <c r="B2" s="1">
        <v>1863.9</v>
      </c>
      <c r="C2" s="1">
        <v>1507.5</v>
      </c>
      <c r="D2" s="1">
        <v>1621.8</v>
      </c>
      <c r="E2" s="1">
        <v>1635.3</v>
      </c>
      <c r="F2" s="1">
        <v>1503</v>
      </c>
      <c r="G2" s="1">
        <v>1799.1000000000001</v>
      </c>
      <c r="H2" s="1">
        <v>2171.7000000000003</v>
      </c>
      <c r="I2" s="1">
        <v>1475.1000000000001</v>
      </c>
      <c r="J2" s="1">
        <v>1984.5</v>
      </c>
      <c r="K2" s="1">
        <v>1476</v>
      </c>
      <c r="L2" s="3"/>
      <c r="N2" s="9"/>
      <c r="O2" s="9"/>
      <c r="P2" s="9"/>
      <c r="R2" s="10"/>
      <c r="S2" s="10"/>
    </row>
    <row r="3" spans="1:19" x14ac:dyDescent="0.45">
      <c r="A3" s="3" t="s">
        <v>15</v>
      </c>
      <c r="B3" s="6">
        <v>2071.1629936601971</v>
      </c>
      <c r="C3" s="6">
        <v>2011.6130206401845</v>
      </c>
      <c r="D3" s="6">
        <v>1866.7732870822633</v>
      </c>
      <c r="E3" s="6">
        <v>1796.3885436278215</v>
      </c>
      <c r="F3" s="6">
        <v>1750.1052286111665</v>
      </c>
      <c r="G3" s="6">
        <v>1679.1079442574332</v>
      </c>
      <c r="H3" s="6">
        <v>1713.5835810119647</v>
      </c>
      <c r="I3" s="6">
        <v>1845.2077552506548</v>
      </c>
      <c r="J3" s="6">
        <v>1738.8698777045656</v>
      </c>
      <c r="K3" s="6">
        <v>1809.4433404211013</v>
      </c>
      <c r="L3" s="6">
        <v>1713.6397356621455</v>
      </c>
      <c r="N3" s="7">
        <v>0.14371035008737701</v>
      </c>
      <c r="O3" s="13"/>
      <c r="R3" s="11"/>
      <c r="S3" s="11"/>
    </row>
    <row r="4" spans="1:19" x14ac:dyDescent="0.45">
      <c r="A4" s="3"/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19" x14ac:dyDescent="0.45">
      <c r="B5" s="1"/>
    </row>
    <row r="6" spans="1:19" x14ac:dyDescent="0.45">
      <c r="B6" s="1"/>
    </row>
    <row r="7" spans="1:19" x14ac:dyDescent="0.45">
      <c r="B7" s="1"/>
    </row>
    <row r="8" spans="1:19" x14ac:dyDescent="0.45">
      <c r="B8" s="1"/>
    </row>
    <row r="9" spans="1:19" x14ac:dyDescent="0.45">
      <c r="B9" s="1"/>
    </row>
    <row r="10" spans="1:19" x14ac:dyDescent="0.45">
      <c r="B10" s="1"/>
      <c r="F10" s="1"/>
      <c r="G10" s="4"/>
      <c r="K10" s="1"/>
      <c r="L10" s="1"/>
    </row>
    <row r="11" spans="1:19" x14ac:dyDescent="0.45">
      <c r="B11" s="1"/>
      <c r="G11" s="4"/>
      <c r="K11" s="1"/>
      <c r="L11" s="1"/>
    </row>
    <row r="21" spans="4:12" x14ac:dyDescent="0.45">
      <c r="D21"/>
      <c r="E21"/>
      <c r="G21"/>
      <c r="H21"/>
    </row>
    <row r="22" spans="4:12" x14ac:dyDescent="0.45">
      <c r="K22" s="1"/>
      <c r="L22" s="4"/>
    </row>
    <row r="23" spans="4:12" x14ac:dyDescent="0.45">
      <c r="K23" s="1"/>
      <c r="L23" s="4"/>
    </row>
  </sheetData>
  <mergeCells count="2">
    <mergeCell ref="N2:P2"/>
    <mergeCell ref="R1:S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ple">
                <anchor moveWithCells="1" sizeWithCells="1">
                  <from>
                    <xdr:col>0</xdr:col>
                    <xdr:colOff>33512</xdr:colOff>
                    <xdr:row>4</xdr:row>
                    <xdr:rowOff>71812</xdr:rowOff>
                  </from>
                  <to>
                    <xdr:col>1</xdr:col>
                    <xdr:colOff>421294</xdr:colOff>
                    <xdr:row>7</xdr:row>
                    <xdr:rowOff>76599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5"/>
  <sheetViews>
    <sheetView workbookViewId="0">
      <pane ySplit="1" topLeftCell="A2" activePane="bottomLeft" state="frozen"/>
      <selection pane="bottomLeft" activeCell="O13" sqref="O13"/>
    </sheetView>
  </sheetViews>
  <sheetFormatPr defaultColWidth="8.796875" defaultRowHeight="14.35" x14ac:dyDescent="0.45"/>
  <cols>
    <col min="2" max="2" width="13.33203125" customWidth="1"/>
  </cols>
  <sheetData>
    <row r="1" spans="1:2" x14ac:dyDescent="0.45">
      <c r="A1" t="s">
        <v>0</v>
      </c>
      <c r="B1" t="s">
        <v>1</v>
      </c>
    </row>
    <row r="2" spans="1:2" x14ac:dyDescent="0.45">
      <c r="A2">
        <v>1</v>
      </c>
      <c r="B2" s="1">
        <v>1524.6000000000001</v>
      </c>
    </row>
    <row r="3" spans="1:2" x14ac:dyDescent="0.45">
      <c r="A3">
        <v>2</v>
      </c>
      <c r="B3" s="1">
        <v>1960.2</v>
      </c>
    </row>
    <row r="4" spans="1:2" x14ac:dyDescent="0.45">
      <c r="A4">
        <v>3</v>
      </c>
      <c r="B4" s="1">
        <v>2061.9</v>
      </c>
    </row>
    <row r="5" spans="1:2" x14ac:dyDescent="0.45">
      <c r="A5">
        <v>4</v>
      </c>
      <c r="B5" s="1">
        <v>2214</v>
      </c>
    </row>
    <row r="6" spans="1:2" x14ac:dyDescent="0.45">
      <c r="A6">
        <v>5</v>
      </c>
      <c r="B6" s="1">
        <v>1621.8</v>
      </c>
    </row>
    <row r="7" spans="1:2" x14ac:dyDescent="0.45">
      <c r="A7">
        <v>6</v>
      </c>
      <c r="B7" s="1">
        <v>1926.9</v>
      </c>
    </row>
    <row r="8" spans="1:2" x14ac:dyDescent="0.45">
      <c r="A8">
        <v>7</v>
      </c>
      <c r="B8" s="1">
        <v>1952.1000000000001</v>
      </c>
    </row>
    <row r="9" spans="1:2" x14ac:dyDescent="0.45">
      <c r="A9">
        <v>8</v>
      </c>
      <c r="B9" s="1">
        <v>2214.9</v>
      </c>
    </row>
    <row r="10" spans="1:2" x14ac:dyDescent="0.45">
      <c r="A10">
        <v>9</v>
      </c>
      <c r="B10" s="1">
        <v>2009.7</v>
      </c>
    </row>
    <row r="11" spans="1:2" x14ac:dyDescent="0.45">
      <c r="A11">
        <v>10</v>
      </c>
      <c r="B11" s="1">
        <v>2068.2000000000003</v>
      </c>
    </row>
    <row r="12" spans="1:2" x14ac:dyDescent="0.45">
      <c r="A12">
        <v>11</v>
      </c>
      <c r="B12" s="1">
        <v>1865.7</v>
      </c>
    </row>
    <row r="13" spans="1:2" x14ac:dyDescent="0.45">
      <c r="A13">
        <v>12</v>
      </c>
      <c r="B13" s="1">
        <v>1445.4</v>
      </c>
    </row>
    <row r="14" spans="1:2" x14ac:dyDescent="0.45">
      <c r="A14">
        <v>13</v>
      </c>
      <c r="B14" s="1">
        <v>1723.5</v>
      </c>
    </row>
    <row r="15" spans="1:2" x14ac:dyDescent="0.45">
      <c r="A15">
        <v>14</v>
      </c>
      <c r="B15" s="1">
        <v>2421.1000000000004</v>
      </c>
    </row>
    <row r="16" spans="1:2" x14ac:dyDescent="0.45">
      <c r="A16">
        <v>15</v>
      </c>
      <c r="B16" s="1">
        <v>1797.4</v>
      </c>
    </row>
    <row r="17" spans="1:2" x14ac:dyDescent="0.45">
      <c r="A17">
        <v>16</v>
      </c>
      <c r="B17" s="1">
        <v>2289.1000000000004</v>
      </c>
    </row>
    <row r="18" spans="1:2" x14ac:dyDescent="0.45">
      <c r="A18">
        <v>17</v>
      </c>
      <c r="B18" s="1">
        <v>2072.4</v>
      </c>
    </row>
    <row r="19" spans="1:2" x14ac:dyDescent="0.45">
      <c r="A19">
        <v>18</v>
      </c>
      <c r="B19" s="1">
        <v>2653.2000000000003</v>
      </c>
    </row>
    <row r="20" spans="1:2" x14ac:dyDescent="0.45">
      <c r="A20">
        <v>19</v>
      </c>
      <c r="B20" s="1">
        <v>2557.5</v>
      </c>
    </row>
    <row r="21" spans="1:2" x14ac:dyDescent="0.45">
      <c r="A21">
        <v>20</v>
      </c>
      <c r="B21" s="1">
        <v>1712.7</v>
      </c>
    </row>
    <row r="22" spans="1:2" x14ac:dyDescent="0.45">
      <c r="A22">
        <v>21</v>
      </c>
      <c r="B22" s="1">
        <v>2206.7999999999997</v>
      </c>
    </row>
    <row r="23" spans="1:2" x14ac:dyDescent="0.45">
      <c r="A23">
        <v>22</v>
      </c>
      <c r="B23" s="1">
        <v>2140.7999999999997</v>
      </c>
    </row>
    <row r="24" spans="1:2" x14ac:dyDescent="0.45">
      <c r="A24">
        <v>23</v>
      </c>
      <c r="B24" s="1">
        <v>2546.4</v>
      </c>
    </row>
    <row r="25" spans="1:2" x14ac:dyDescent="0.45">
      <c r="A25">
        <v>24</v>
      </c>
      <c r="B25" s="1">
        <v>2322</v>
      </c>
    </row>
    <row r="26" spans="1:2" x14ac:dyDescent="0.45">
      <c r="A26">
        <v>25</v>
      </c>
      <c r="B26" s="1">
        <v>2295.6</v>
      </c>
    </row>
    <row r="27" spans="1:2" x14ac:dyDescent="0.45">
      <c r="A27">
        <v>26</v>
      </c>
      <c r="B27" s="1">
        <v>2632.7999999999997</v>
      </c>
    </row>
    <row r="28" spans="1:2" x14ac:dyDescent="0.45">
      <c r="A28">
        <v>27</v>
      </c>
      <c r="B28" s="1">
        <v>2574</v>
      </c>
    </row>
    <row r="29" spans="1:2" x14ac:dyDescent="0.45">
      <c r="A29">
        <v>28</v>
      </c>
      <c r="B29" s="1">
        <v>2646</v>
      </c>
    </row>
    <row r="30" spans="1:2" x14ac:dyDescent="0.45">
      <c r="A30">
        <v>29</v>
      </c>
      <c r="B30" s="1">
        <v>2014.8</v>
      </c>
    </row>
    <row r="31" spans="1:2" x14ac:dyDescent="0.45">
      <c r="A31">
        <v>30</v>
      </c>
      <c r="B31" s="1">
        <v>1998</v>
      </c>
    </row>
    <row r="32" spans="1:2" x14ac:dyDescent="0.45">
      <c r="A32">
        <v>31</v>
      </c>
      <c r="B32" s="1">
        <v>2976</v>
      </c>
    </row>
    <row r="33" spans="1:2" x14ac:dyDescent="0.45">
      <c r="A33">
        <v>32</v>
      </c>
      <c r="B33" s="1">
        <v>1867.1999999999998</v>
      </c>
    </row>
    <row r="34" spans="1:2" x14ac:dyDescent="0.45">
      <c r="A34">
        <v>33</v>
      </c>
      <c r="B34" s="1">
        <v>1845.6</v>
      </c>
    </row>
    <row r="35" spans="1:2" x14ac:dyDescent="0.45">
      <c r="A35">
        <v>34</v>
      </c>
      <c r="B35" s="1">
        <v>2764.7999999999997</v>
      </c>
    </row>
    <row r="36" spans="1:2" x14ac:dyDescent="0.45">
      <c r="A36">
        <v>35</v>
      </c>
      <c r="B36" s="1">
        <v>2088</v>
      </c>
    </row>
    <row r="37" spans="1:2" x14ac:dyDescent="0.45">
      <c r="A37">
        <v>36</v>
      </c>
      <c r="B37" s="1">
        <v>2553.6</v>
      </c>
    </row>
    <row r="38" spans="1:2" x14ac:dyDescent="0.45">
      <c r="A38">
        <v>37</v>
      </c>
      <c r="B38" s="1">
        <v>1980</v>
      </c>
    </row>
    <row r="39" spans="1:2" x14ac:dyDescent="0.45">
      <c r="A39">
        <v>38</v>
      </c>
      <c r="B39" s="1">
        <v>2842.7999999999997</v>
      </c>
    </row>
    <row r="40" spans="1:2" x14ac:dyDescent="0.45">
      <c r="A40">
        <v>39</v>
      </c>
      <c r="B40" s="1">
        <v>2328</v>
      </c>
    </row>
    <row r="41" spans="1:2" x14ac:dyDescent="0.45">
      <c r="A41">
        <v>40</v>
      </c>
      <c r="B41" s="1">
        <v>2404</v>
      </c>
    </row>
    <row r="42" spans="1:2" x14ac:dyDescent="0.45">
      <c r="A42">
        <v>41</v>
      </c>
      <c r="B42" s="1">
        <v>1614</v>
      </c>
    </row>
    <row r="43" spans="1:2" x14ac:dyDescent="0.45">
      <c r="A43">
        <v>42</v>
      </c>
      <c r="B43" s="1">
        <v>1851</v>
      </c>
    </row>
    <row r="44" spans="1:2" x14ac:dyDescent="0.45">
      <c r="A44">
        <v>43</v>
      </c>
      <c r="B44" s="1">
        <v>1648</v>
      </c>
    </row>
    <row r="45" spans="1:2" x14ac:dyDescent="0.45">
      <c r="A45">
        <v>44</v>
      </c>
      <c r="B45" s="1">
        <v>1637</v>
      </c>
    </row>
    <row r="46" spans="1:2" x14ac:dyDescent="0.45">
      <c r="A46">
        <v>45</v>
      </c>
      <c r="B46" s="1">
        <v>2211.3000000000002</v>
      </c>
    </row>
    <row r="47" spans="1:2" x14ac:dyDescent="0.45">
      <c r="A47">
        <v>46</v>
      </c>
      <c r="B47" s="1">
        <v>1754.1000000000001</v>
      </c>
    </row>
    <row r="48" spans="1:2" x14ac:dyDescent="0.45">
      <c r="A48">
        <v>47</v>
      </c>
      <c r="B48" s="1">
        <v>1600.2</v>
      </c>
    </row>
    <row r="49" spans="1:2" x14ac:dyDescent="0.45">
      <c r="A49">
        <v>48</v>
      </c>
      <c r="B49" s="1">
        <v>2001.6000000000001</v>
      </c>
    </row>
    <row r="50" spans="1:2" x14ac:dyDescent="0.45">
      <c r="A50">
        <v>49</v>
      </c>
      <c r="B50" s="1">
        <v>1812.6000000000001</v>
      </c>
    </row>
    <row r="51" spans="1:2" x14ac:dyDescent="0.45">
      <c r="A51">
        <v>50</v>
      </c>
      <c r="B51" s="1">
        <v>2025</v>
      </c>
    </row>
    <row r="52" spans="1:2" x14ac:dyDescent="0.45">
      <c r="A52">
        <v>51</v>
      </c>
      <c r="B52" s="1">
        <v>1508.4</v>
      </c>
    </row>
    <row r="53" spans="1:2" x14ac:dyDescent="0.45">
      <c r="A53">
        <v>52</v>
      </c>
      <c r="B53" s="1">
        <v>1693.8</v>
      </c>
    </row>
    <row r="54" spans="1:2" x14ac:dyDescent="0.45">
      <c r="A54">
        <v>53</v>
      </c>
      <c r="B54" s="1">
        <v>2007</v>
      </c>
    </row>
    <row r="55" spans="1:2" x14ac:dyDescent="0.45">
      <c r="A55">
        <v>54</v>
      </c>
      <c r="B55" s="1">
        <v>1642.5</v>
      </c>
    </row>
    <row r="56" spans="1:2" x14ac:dyDescent="0.45">
      <c r="A56">
        <v>55</v>
      </c>
      <c r="B56" s="1">
        <v>1917</v>
      </c>
    </row>
    <row r="57" spans="1:2" x14ac:dyDescent="0.45">
      <c r="A57">
        <v>56</v>
      </c>
      <c r="B57" s="1">
        <v>1721.7</v>
      </c>
    </row>
    <row r="58" spans="1:2" x14ac:dyDescent="0.45">
      <c r="A58">
        <v>57</v>
      </c>
      <c r="B58" s="1">
        <v>1440</v>
      </c>
    </row>
    <row r="59" spans="1:2" x14ac:dyDescent="0.45">
      <c r="A59">
        <v>58</v>
      </c>
      <c r="B59" s="1">
        <v>1775.7</v>
      </c>
    </row>
    <row r="60" spans="1:2" x14ac:dyDescent="0.45">
      <c r="A60">
        <v>59</v>
      </c>
      <c r="B60" s="1">
        <v>2242.8000000000002</v>
      </c>
    </row>
    <row r="61" spans="1:2" x14ac:dyDescent="0.45">
      <c r="A61">
        <v>60</v>
      </c>
      <c r="B61" s="1">
        <v>1638.9</v>
      </c>
    </row>
    <row r="62" spans="1:2" x14ac:dyDescent="0.45">
      <c r="A62">
        <v>61</v>
      </c>
      <c r="B62" s="1">
        <v>1717.2</v>
      </c>
    </row>
    <row r="63" spans="1:2" x14ac:dyDescent="0.45">
      <c r="A63">
        <v>62</v>
      </c>
      <c r="B63" s="1">
        <v>2664.2000000000003</v>
      </c>
    </row>
    <row r="64" spans="1:2" x14ac:dyDescent="0.45">
      <c r="A64">
        <v>63</v>
      </c>
      <c r="B64" s="1">
        <v>2063.6000000000004</v>
      </c>
    </row>
    <row r="65" spans="1:2" x14ac:dyDescent="0.45">
      <c r="A65">
        <v>64</v>
      </c>
      <c r="B65" s="1">
        <v>1993.2000000000003</v>
      </c>
    </row>
    <row r="66" spans="1:2" x14ac:dyDescent="0.45">
      <c r="A66">
        <v>65</v>
      </c>
      <c r="B66" s="1">
        <v>1870.0000000000002</v>
      </c>
    </row>
    <row r="67" spans="1:2" x14ac:dyDescent="0.45">
      <c r="A67">
        <v>66</v>
      </c>
      <c r="B67" s="1">
        <v>2328</v>
      </c>
    </row>
    <row r="68" spans="1:2" x14ac:dyDescent="0.45">
      <c r="A68">
        <v>67</v>
      </c>
      <c r="B68" s="1">
        <v>1825.2</v>
      </c>
    </row>
    <row r="69" spans="1:2" x14ac:dyDescent="0.45">
      <c r="A69">
        <v>68</v>
      </c>
      <c r="B69" s="1">
        <v>2660.4</v>
      </c>
    </row>
    <row r="70" spans="1:2" x14ac:dyDescent="0.45">
      <c r="A70">
        <v>69</v>
      </c>
      <c r="B70" s="1">
        <v>2955.6</v>
      </c>
    </row>
    <row r="71" spans="1:2" x14ac:dyDescent="0.45">
      <c r="A71">
        <v>70</v>
      </c>
      <c r="B71" s="1">
        <v>2642.4</v>
      </c>
    </row>
    <row r="72" spans="1:2" x14ac:dyDescent="0.45">
      <c r="A72">
        <v>71</v>
      </c>
      <c r="B72" s="1">
        <v>2485.1999999999998</v>
      </c>
    </row>
    <row r="73" spans="1:2" x14ac:dyDescent="0.45">
      <c r="A73">
        <v>72</v>
      </c>
      <c r="B73" s="1">
        <v>2701.2</v>
      </c>
    </row>
    <row r="74" spans="1:2" x14ac:dyDescent="0.45">
      <c r="A74">
        <v>73</v>
      </c>
      <c r="B74" s="1">
        <v>2676</v>
      </c>
    </row>
    <row r="75" spans="1:2" x14ac:dyDescent="0.45">
      <c r="A75">
        <v>74</v>
      </c>
      <c r="B75" s="1">
        <v>2470.7999999999997</v>
      </c>
    </row>
    <row r="76" spans="1:2" x14ac:dyDescent="0.45">
      <c r="A76">
        <v>75</v>
      </c>
      <c r="B76" s="1">
        <v>2274</v>
      </c>
    </row>
    <row r="77" spans="1:2" x14ac:dyDescent="0.45">
      <c r="A77">
        <v>76</v>
      </c>
      <c r="B77" s="1">
        <v>2916</v>
      </c>
    </row>
    <row r="78" spans="1:2" x14ac:dyDescent="0.45">
      <c r="A78">
        <v>77</v>
      </c>
      <c r="B78" s="1">
        <v>2569.1999999999998</v>
      </c>
    </row>
    <row r="79" spans="1:2" x14ac:dyDescent="0.45">
      <c r="A79">
        <v>78</v>
      </c>
      <c r="B79" s="1">
        <v>2727.6</v>
      </c>
    </row>
    <row r="80" spans="1:2" x14ac:dyDescent="0.45">
      <c r="A80">
        <v>79</v>
      </c>
      <c r="B80" s="1">
        <v>2744.4</v>
      </c>
    </row>
    <row r="81" spans="1:2" x14ac:dyDescent="0.45">
      <c r="A81">
        <v>80</v>
      </c>
      <c r="B81" s="1">
        <v>2062.7999999999997</v>
      </c>
    </row>
    <row r="82" spans="1:2" x14ac:dyDescent="0.45">
      <c r="A82">
        <v>81</v>
      </c>
      <c r="B82" s="1">
        <v>2218.7999999999997</v>
      </c>
    </row>
    <row r="83" spans="1:2" x14ac:dyDescent="0.45">
      <c r="A83">
        <v>82</v>
      </c>
      <c r="B83" s="1">
        <v>2696.4</v>
      </c>
    </row>
    <row r="84" spans="1:2" x14ac:dyDescent="0.45">
      <c r="A84">
        <v>83</v>
      </c>
      <c r="B84" s="1">
        <v>2526</v>
      </c>
    </row>
    <row r="85" spans="1:2" x14ac:dyDescent="0.45">
      <c r="A85">
        <v>84</v>
      </c>
      <c r="B85" s="1">
        <v>2016</v>
      </c>
    </row>
    <row r="86" spans="1:2" x14ac:dyDescent="0.45">
      <c r="A86">
        <v>85</v>
      </c>
      <c r="B86" s="1">
        <v>2952</v>
      </c>
    </row>
    <row r="87" spans="1:2" x14ac:dyDescent="0.45">
      <c r="A87">
        <v>86</v>
      </c>
      <c r="B87" s="1">
        <v>2457.6</v>
      </c>
    </row>
    <row r="88" spans="1:2" x14ac:dyDescent="0.45">
      <c r="A88">
        <v>87</v>
      </c>
      <c r="B88" s="1">
        <v>2907.6</v>
      </c>
    </row>
    <row r="89" spans="1:2" x14ac:dyDescent="0.45">
      <c r="A89">
        <v>88</v>
      </c>
      <c r="B89" s="1">
        <v>1694.0000000000002</v>
      </c>
    </row>
    <row r="90" spans="1:2" x14ac:dyDescent="0.45">
      <c r="A90">
        <v>89</v>
      </c>
      <c r="B90" s="1">
        <v>2560.8000000000002</v>
      </c>
    </row>
    <row r="91" spans="1:2" x14ac:dyDescent="0.45">
      <c r="A91">
        <v>90</v>
      </c>
      <c r="B91" s="1">
        <v>1687.4</v>
      </c>
    </row>
    <row r="92" spans="1:2" x14ac:dyDescent="0.45">
      <c r="A92">
        <v>91</v>
      </c>
      <c r="B92" s="1">
        <v>1772.1000000000001</v>
      </c>
    </row>
    <row r="93" spans="1:2" x14ac:dyDescent="0.45">
      <c r="A93">
        <v>92</v>
      </c>
      <c r="B93" s="1">
        <v>1855</v>
      </c>
    </row>
    <row r="94" spans="1:2" x14ac:dyDescent="0.45">
      <c r="A94">
        <v>93</v>
      </c>
      <c r="B94" s="1">
        <v>2068</v>
      </c>
    </row>
    <row r="95" spans="1:2" x14ac:dyDescent="0.45">
      <c r="A95">
        <v>94</v>
      </c>
      <c r="B95" s="1">
        <v>2169.9</v>
      </c>
    </row>
    <row r="96" spans="1:2" x14ac:dyDescent="0.45">
      <c r="A96">
        <v>95</v>
      </c>
      <c r="B96" s="1">
        <v>1863.9</v>
      </c>
    </row>
    <row r="97" spans="1:2" x14ac:dyDescent="0.45">
      <c r="A97">
        <v>96</v>
      </c>
      <c r="B97" s="1">
        <v>1507.5</v>
      </c>
    </row>
    <row r="98" spans="1:2" x14ac:dyDescent="0.45">
      <c r="A98">
        <v>97</v>
      </c>
      <c r="B98" s="1">
        <v>1621.8</v>
      </c>
    </row>
    <row r="99" spans="1:2" x14ac:dyDescent="0.45">
      <c r="A99">
        <v>98</v>
      </c>
      <c r="B99" s="1">
        <v>1635.3</v>
      </c>
    </row>
    <row r="100" spans="1:2" x14ac:dyDescent="0.45">
      <c r="A100">
        <v>99</v>
      </c>
      <c r="B100" s="1">
        <v>1503</v>
      </c>
    </row>
    <row r="101" spans="1:2" x14ac:dyDescent="0.45">
      <c r="A101">
        <v>100</v>
      </c>
      <c r="B101" s="1">
        <v>1799.1000000000001</v>
      </c>
    </row>
    <row r="102" spans="1:2" x14ac:dyDescent="0.45">
      <c r="A102">
        <v>101</v>
      </c>
      <c r="B102" s="1">
        <v>2171.7000000000003</v>
      </c>
    </row>
    <row r="103" spans="1:2" x14ac:dyDescent="0.45">
      <c r="A103">
        <v>102</v>
      </c>
      <c r="B103" s="1">
        <v>1475.1000000000001</v>
      </c>
    </row>
    <row r="104" spans="1:2" x14ac:dyDescent="0.45">
      <c r="A104">
        <v>103</v>
      </c>
      <c r="B104" s="1">
        <v>1984.5</v>
      </c>
    </row>
    <row r="105" spans="1:2" x14ac:dyDescent="0.45">
      <c r="A105">
        <v>104</v>
      </c>
      <c r="B105" s="1">
        <v>1476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1"/>
  <sheetViews>
    <sheetView workbookViewId="0">
      <selection activeCell="C2" sqref="C2:M2"/>
    </sheetView>
  </sheetViews>
  <sheetFormatPr defaultRowHeight="14.35" x14ac:dyDescent="0.45"/>
  <sheetData>
    <row r="1" spans="1:13" x14ac:dyDescent="0.45">
      <c r="A1">
        <v>0</v>
      </c>
      <c r="C1" s="6">
        <v>2056.4505433671293</v>
      </c>
      <c r="D1" s="6">
        <v>2043.0868461627829</v>
      </c>
      <c r="E1" s="6">
        <v>1955.3087276352267</v>
      </c>
      <c r="F1" s="6">
        <v>1831.2568299165591</v>
      </c>
      <c r="G1" s="6">
        <v>1739.4386691590032</v>
      </c>
      <c r="H1" s="6">
        <v>1616.6078176771739</v>
      </c>
      <c r="I1" s="6">
        <v>1721.8887003350583</v>
      </c>
      <c r="J1" s="6">
        <v>1912.1542516545214</v>
      </c>
      <c r="K1" s="6">
        <v>1864.1710631574881</v>
      </c>
      <c r="L1" s="6">
        <v>1898.8648878830434</v>
      </c>
      <c r="M1" s="6">
        <v>1810.0829292635281</v>
      </c>
    </row>
    <row r="2" spans="1:13" x14ac:dyDescent="0.45">
      <c r="A2">
        <v>0</v>
      </c>
      <c r="C2">
        <f>C1*Start!$N$3</f>
        <v>295.53322752466681</v>
      </c>
      <c r="D2">
        <f>D1*Start!$N$3</f>
        <v>293.6127259209685</v>
      </c>
      <c r="E2">
        <f>E1*Start!$N$3</f>
        <v>280.99810177736214</v>
      </c>
      <c r="F2">
        <f>F1*Start!$N$3</f>
        <v>263.17056012720894</v>
      </c>
      <c r="G2">
        <f>G1*Start!$N$3</f>
        <v>249.97534010036151</v>
      </c>
      <c r="H2">
        <f>H1*Start!$N$3</f>
        <v>232.32327543237722</v>
      </c>
      <c r="I2">
        <f>I1*Start!$N$3</f>
        <v>247.45322793664982</v>
      </c>
      <c r="J2">
        <f>J1*Start!$N$3</f>
        <v>274.79635692633769</v>
      </c>
      <c r="K2">
        <f>K1*Start!$N$3</f>
        <v>267.90067610912041</v>
      </c>
      <c r="L2">
        <f>L1*Start!$N$3</f>
        <v>272.88653780630005</v>
      </c>
      <c r="M2">
        <f>M1*Start!$N$3</f>
        <v>260.1276514516465</v>
      </c>
    </row>
    <row r="3" spans="1:13" x14ac:dyDescent="0.45">
      <c r="A3">
        <v>0</v>
      </c>
    </row>
    <row r="4" spans="1:13" x14ac:dyDescent="0.45">
      <c r="A4">
        <v>0</v>
      </c>
    </row>
    <row r="5" spans="1:13" x14ac:dyDescent="0.45">
      <c r="A5">
        <v>0</v>
      </c>
    </row>
    <row r="6" spans="1:13" x14ac:dyDescent="0.45">
      <c r="A6">
        <v>0</v>
      </c>
    </row>
    <row r="7" spans="1:13" x14ac:dyDescent="0.45">
      <c r="A7">
        <v>0</v>
      </c>
    </row>
    <row r="8" spans="1:13" x14ac:dyDescent="0.45">
      <c r="A8">
        <v>0</v>
      </c>
    </row>
    <row r="9" spans="1:13" x14ac:dyDescent="0.45">
      <c r="A9">
        <v>0</v>
      </c>
    </row>
    <row r="10" spans="1:13" x14ac:dyDescent="0.45">
      <c r="A10">
        <v>0</v>
      </c>
    </row>
    <row r="11" spans="1:13" x14ac:dyDescent="0.45">
      <c r="A11" s="1">
        <f>Start!P3</f>
        <v>0</v>
      </c>
      <c r="B1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0"/>
  <sheetViews>
    <sheetView topLeftCell="A86" workbookViewId="0">
      <selection activeCell="C106" sqref="C106"/>
    </sheetView>
  </sheetViews>
  <sheetFormatPr defaultColWidth="8.796875" defaultRowHeight="14.35" x14ac:dyDescent="0.45"/>
  <cols>
    <col min="2" max="2" width="13.33203125" customWidth="1"/>
    <col min="8" max="8" width="8.796875" style="2"/>
  </cols>
  <sheetData>
    <row r="1" spans="1:8" x14ac:dyDescent="0.45">
      <c r="A1" t="s">
        <v>0</v>
      </c>
      <c r="B1" t="s">
        <v>1</v>
      </c>
      <c r="C1" t="s">
        <v>2</v>
      </c>
      <c r="D1" t="s">
        <v>4</v>
      </c>
      <c r="E1" t="s">
        <v>7</v>
      </c>
      <c r="F1" t="s">
        <v>5</v>
      </c>
      <c r="G1" t="s">
        <v>8</v>
      </c>
      <c r="H1" s="2" t="s">
        <v>3</v>
      </c>
    </row>
    <row r="2" spans="1:8" x14ac:dyDescent="0.45">
      <c r="A2">
        <v>1</v>
      </c>
      <c r="B2" s="1">
        <v>1524.6000000000001</v>
      </c>
      <c r="C2" s="1">
        <f>B2</f>
        <v>1524.6000000000001</v>
      </c>
      <c r="D2">
        <f>ABS((B2-C2)/B2)</f>
        <v>0</v>
      </c>
      <c r="E2">
        <f t="shared" ref="E2:E3" si="0">(B2-C2)^2</f>
        <v>0</v>
      </c>
      <c r="F2">
        <f>AVERAGE(D:D)</f>
        <v>0.14371035008737701</v>
      </c>
      <c r="G2">
        <f>SUM(E:E)</f>
        <v>13765089.354831349</v>
      </c>
      <c r="H2" s="2">
        <v>0.28731599388959622</v>
      </c>
    </row>
    <row r="3" spans="1:8" x14ac:dyDescent="0.45">
      <c r="A3">
        <v>2</v>
      </c>
      <c r="B3" s="1">
        <v>1960.2</v>
      </c>
      <c r="C3" s="1">
        <f t="shared" ref="C3:C4" si="1">C2+alpha*(B2-C2)</f>
        <v>1524.6000000000001</v>
      </c>
      <c r="D3">
        <f t="shared" ref="D3" si="2">ABS((B3-C3)/B3)</f>
        <v>0.22222222222222218</v>
      </c>
      <c r="E3">
        <f t="shared" si="0"/>
        <v>189747.35999999993</v>
      </c>
    </row>
    <row r="4" spans="1:8" x14ac:dyDescent="0.45">
      <c r="A4">
        <v>3</v>
      </c>
      <c r="B4" s="1">
        <v>2061.9</v>
      </c>
      <c r="C4" s="1">
        <f t="shared" ref="C4" si="3">C3+alpha*(B3-C3)</f>
        <v>1649.7548469383082</v>
      </c>
      <c r="D4">
        <f t="shared" ref="D4" si="4">ABS((B4-C4)/B4)</f>
        <v>0.19988610168373436</v>
      </c>
      <c r="E4">
        <f t="shared" ref="E4" si="5">(B4-C4)^2</f>
        <v>169863.62719224542</v>
      </c>
    </row>
    <row r="5" spans="1:8" x14ac:dyDescent="0.45">
      <c r="A5">
        <v>4</v>
      </c>
      <c r="B5" s="1">
        <v>2214</v>
      </c>
      <c r="C5" s="1">
        <f t="shared" ref="C5" si="6">C4+alpha*(B4-C4)</f>
        <v>1768.1707412170081</v>
      </c>
      <c r="D5">
        <f t="shared" ref="D5" si="7">ABS((B5-C5)/B5)</f>
        <v>0.20136822889927369</v>
      </c>
      <c r="E5">
        <f t="shared" ref="E5" si="8">(B5-C5)^2</f>
        <v>198763.72798699199</v>
      </c>
    </row>
    <row r="6" spans="1:8" x14ac:dyDescent="0.45">
      <c r="A6">
        <v>5</v>
      </c>
      <c r="B6" s="1">
        <v>1621.8</v>
      </c>
      <c r="C6" s="1">
        <f t="shared" ref="C6" si="9">C5+alpha*(B5-C5)</f>
        <v>1896.2646178093055</v>
      </c>
      <c r="D6">
        <f t="shared" ref="D6" si="10">ABS((B6-C6)/B6)</f>
        <v>0.16923456518023525</v>
      </c>
      <c r="E6">
        <f t="shared" ref="E6" si="11">(B6-C6)^2</f>
        <v>75330.826429208159</v>
      </c>
    </row>
    <row r="7" spans="1:8" x14ac:dyDescent="0.45">
      <c r="A7">
        <v>6</v>
      </c>
      <c r="B7" s="1">
        <v>1926.9</v>
      </c>
      <c r="C7" s="1">
        <f t="shared" ref="C7" si="12">C6+alpha*(B6-C6)</f>
        <v>1817.4065433558967</v>
      </c>
      <c r="D7">
        <f t="shared" ref="D7" si="13">ABS((B7-C7)/B7)</f>
        <v>5.6823632074369912E-2</v>
      </c>
      <c r="E7">
        <f t="shared" ref="E7" si="14">(B7-C7)^2</f>
        <v>11988.817047874149</v>
      </c>
    </row>
    <row r="8" spans="1:8" x14ac:dyDescent="0.45">
      <c r="A8">
        <v>7</v>
      </c>
      <c r="B8" s="1">
        <v>1952.1000000000001</v>
      </c>
      <c r="C8" s="1">
        <f t="shared" ref="C8" si="15">C7+alpha*(B7-C7)</f>
        <v>1848.8657646760046</v>
      </c>
      <c r="D8">
        <f t="shared" ref="D8" si="16">ABS((B8-C8)/B8)</f>
        <v>5.2883681842116469E-2</v>
      </c>
      <c r="E8">
        <f t="shared" ref="E8" si="17">(B8-C8)^2</f>
        <v>10657.307342930093</v>
      </c>
    </row>
    <row r="9" spans="1:8" x14ac:dyDescent="0.45">
      <c r="A9">
        <v>8</v>
      </c>
      <c r="B9" s="1">
        <v>2214.9</v>
      </c>
      <c r="C9" s="1">
        <f t="shared" ref="C9" si="18">C8+alpha*(B8-C8)</f>
        <v>1878.5266116015507</v>
      </c>
      <c r="D9">
        <f t="shared" ref="D9" si="19">ABS((B9-C9)/B9)</f>
        <v>0.15186843126030491</v>
      </c>
      <c r="E9">
        <f t="shared" ref="E9" si="20">(B9-C9)^2</f>
        <v>113147.05642265407</v>
      </c>
    </row>
    <row r="10" spans="1:8" x14ac:dyDescent="0.45">
      <c r="A10">
        <v>9</v>
      </c>
      <c r="B10" s="1">
        <v>2009.7</v>
      </c>
      <c r="C10" s="1">
        <f t="shared" ref="C10" si="21">C9+alpha*(B9-C9)</f>
        <v>1975.1720660072624</v>
      </c>
      <c r="D10">
        <f t="shared" ref="D10" si="22">ABS((B10-C10)/B10)</f>
        <v>1.7180640888061722E-2</v>
      </c>
      <c r="E10">
        <f t="shared" ref="E10" si="23">(B10-C10)^2</f>
        <v>1192.1782258068476</v>
      </c>
    </row>
    <row r="11" spans="1:8" x14ac:dyDescent="0.45">
      <c r="A11">
        <v>10</v>
      </c>
      <c r="B11" s="1">
        <v>2068.2000000000003</v>
      </c>
      <c r="C11" s="1">
        <f t="shared" ref="C11" si="24">C10+alpha*(B10-C10)</f>
        <v>1985.0924936793401</v>
      </c>
      <c r="D11">
        <f t="shared" ref="D11" si="25">ABS((B11-C11)/B11)</f>
        <v>4.0183495948486671E-2</v>
      </c>
      <c r="E11">
        <f t="shared" ref="E11" si="26">(B11-C11)^2</f>
        <v>6906.8576068385664</v>
      </c>
    </row>
    <row r="12" spans="1:8" x14ac:dyDescent="0.45">
      <c r="A12">
        <v>11</v>
      </c>
      <c r="B12" s="1">
        <v>1865.7</v>
      </c>
      <c r="C12" s="1">
        <f t="shared" ref="C12" si="27">C11+alpha*(B11-C11)</f>
        <v>2008.9706094575465</v>
      </c>
      <c r="D12">
        <f t="shared" ref="D12" si="28">ABS((B12-C12)/B12)</f>
        <v>7.6791879432677526E-2</v>
      </c>
      <c r="E12">
        <f t="shared" ref="E12" si="29">(B12-C12)^2</f>
        <v>20526.467534336804</v>
      </c>
    </row>
    <row r="13" spans="1:8" x14ac:dyDescent="0.45">
      <c r="A13">
        <v>12</v>
      </c>
      <c r="B13" s="1">
        <v>1445.4</v>
      </c>
      <c r="C13" s="1">
        <f t="shared" ref="C13" si="30">C12+alpha*(B12-C12)</f>
        <v>1967.8066719060835</v>
      </c>
      <c r="D13">
        <f t="shared" ref="D13" si="31">ABS((B13-C13)/B13)</f>
        <v>0.36142705957249438</v>
      </c>
      <c r="E13">
        <f t="shared" ref="E13" si="32">(B13-C13)^2</f>
        <v>272908.73085199023</v>
      </c>
    </row>
    <row r="14" spans="1:8" x14ac:dyDescent="0.45">
      <c r="A14">
        <v>13</v>
      </c>
      <c r="B14" s="1">
        <v>1723.5</v>
      </c>
      <c r="C14" s="1">
        <f t="shared" ref="C14" si="33">C13+alpha*(B13-C13)</f>
        <v>1817.7108797528308</v>
      </c>
      <c r="D14">
        <f t="shared" ref="D14" si="34">ABS((B14-C14)/B14)</f>
        <v>5.4662535394737921E-2</v>
      </c>
      <c r="E14">
        <f t="shared" ref="E14" si="35">(B14-C14)^2</f>
        <v>8875.6898638023449</v>
      </c>
    </row>
    <row r="15" spans="1:8" x14ac:dyDescent="0.45">
      <c r="A15">
        <v>14</v>
      </c>
      <c r="B15" s="1">
        <v>2421.1000000000004</v>
      </c>
      <c r="C15" s="1">
        <f t="shared" ref="C15" si="36">C14+alpha*(B14-C14)</f>
        <v>1790.6425872014329</v>
      </c>
      <c r="D15">
        <f t="shared" ref="D15" si="37">ABS((B15-C15)/B15)</f>
        <v>0.26040122787103687</v>
      </c>
      <c r="E15">
        <f t="shared" ref="E15" si="38">(B15-C15)^2</f>
        <v>397476.54935266334</v>
      </c>
    </row>
    <row r="16" spans="1:8" x14ac:dyDescent="0.45">
      <c r="A16">
        <v>15</v>
      </c>
      <c r="B16" s="1">
        <v>1797.4</v>
      </c>
      <c r="C16" s="1">
        <f t="shared" ref="C16" si="39">C15+alpha*(B15-C15)</f>
        <v>1971.7830853647167</v>
      </c>
      <c r="D16">
        <f t="shared" ref="D16" si="40">ABS((B16-C16)/B16)</f>
        <v>9.7019631336773465E-2</v>
      </c>
      <c r="E16">
        <f t="shared" ref="E16" si="41">(B16-C16)^2</f>
        <v>30409.460461318049</v>
      </c>
    </row>
    <row r="17" spans="1:5" x14ac:dyDescent="0.45">
      <c r="A17">
        <v>16</v>
      </c>
      <c r="B17" s="1">
        <v>2289.1000000000004</v>
      </c>
      <c r="C17" s="1">
        <f t="shared" ref="C17" si="42">C16+alpha*(B16-C16)</f>
        <v>1921.6800358756188</v>
      </c>
      <c r="D17">
        <f t="shared" ref="D17" si="43">ABS((B17-C17)/B17)</f>
        <v>0.16050848111676269</v>
      </c>
      <c r="E17">
        <f t="shared" ref="E17" si="44">(B17-C17)^2</f>
        <v>134997.4300371618</v>
      </c>
    </row>
    <row r="18" spans="1:5" x14ac:dyDescent="0.45">
      <c r="A18">
        <v>17</v>
      </c>
      <c r="B18" s="1">
        <v>2072.4</v>
      </c>
      <c r="C18" s="1">
        <f t="shared" ref="C18" si="45">C17+alpha*(B17-C17)</f>
        <v>2027.2456680428952</v>
      </c>
      <c r="D18">
        <f t="shared" ref="D18" si="46">ABS((B18-C18)/B18)</f>
        <v>2.1788424993777689E-2</v>
      </c>
      <c r="E18">
        <f t="shared" ref="E18" si="47">(B18-C18)^2</f>
        <v>2038.9136944924237</v>
      </c>
    </row>
    <row r="19" spans="1:5" x14ac:dyDescent="0.45">
      <c r="A19">
        <v>18</v>
      </c>
      <c r="B19" s="1">
        <v>2653.2000000000003</v>
      </c>
      <c r="C19" s="1">
        <f t="shared" ref="C19" si="48">C18+alpha*(B18-C18)</f>
        <v>2040.2192298075715</v>
      </c>
      <c r="D19">
        <f t="shared" ref="D19" si="49">ABS((B19-C19)/B19)</f>
        <v>0.23103451311338333</v>
      </c>
      <c r="E19">
        <f t="shared" ref="E19" si="50">(B19-C19)^2</f>
        <v>375745.42462570313</v>
      </c>
    </row>
    <row r="20" spans="1:5" x14ac:dyDescent="0.45">
      <c r="A20">
        <v>19</v>
      </c>
      <c r="B20" s="1">
        <v>2557.5</v>
      </c>
      <c r="C20" s="1">
        <f t="shared" ref="C20" si="51">C19+alpha*(B19-C19)</f>
        <v>2216.3384090306195</v>
      </c>
      <c r="D20">
        <f t="shared" ref="D20" si="52">ABS((B20-C20)/B20)</f>
        <v>0.13339651650806669</v>
      </c>
      <c r="E20">
        <f t="shared" ref="E20" si="53">(B20-C20)^2</f>
        <v>116391.23115275892</v>
      </c>
    </row>
    <row r="21" spans="1:5" x14ac:dyDescent="0.45">
      <c r="A21">
        <v>20</v>
      </c>
      <c r="B21" s="1">
        <v>1712.7</v>
      </c>
      <c r="C21" s="1">
        <f t="shared" ref="C21" si="54">C20+alpha*(B20-C20)</f>
        <v>2314.359590616943</v>
      </c>
      <c r="D21">
        <f t="shared" ref="D21" si="55">ABS((B21-C21)/B21)</f>
        <v>0.351293040589095</v>
      </c>
      <c r="E21">
        <f t="shared" ref="E21" si="56">(B21-C21)^2</f>
        <v>361994.26298134739</v>
      </c>
    </row>
    <row r="22" spans="1:5" x14ac:dyDescent="0.45">
      <c r="A22">
        <v>21</v>
      </c>
      <c r="B22" s="1">
        <v>2206.7999999999997</v>
      </c>
      <c r="C22" s="1">
        <f t="shared" ref="C22" si="57">C21+alpha*(B21-C21)</f>
        <v>2141.4931673556284</v>
      </c>
      <c r="D22">
        <f t="shared" ref="D22" si="58">ABS((B22-C22)/B22)</f>
        <v>2.9593453255560679E-2</v>
      </c>
      <c r="E22">
        <f t="shared" ref="E22" si="59">(B22-C22)^2</f>
        <v>4264.9823900399206</v>
      </c>
    </row>
    <row r="23" spans="1:5" x14ac:dyDescent="0.45">
      <c r="A23">
        <v>22</v>
      </c>
      <c r="B23" s="1">
        <v>2140.7999999999997</v>
      </c>
      <c r="C23" s="1">
        <f t="shared" ref="C23" si="60">C22+alpha*(B22-C22)</f>
        <v>2160.2568648846277</v>
      </c>
      <c r="D23">
        <f t="shared" ref="D23" si="61">ABS((B23-C23)/B23)</f>
        <v>9.088595331010826E-3</v>
      </c>
      <c r="E23">
        <f t="shared" ref="E23" si="62">(B23-C23)^2</f>
        <v>378.56959113866918</v>
      </c>
    </row>
    <row r="24" spans="1:5" x14ac:dyDescent="0.45">
      <c r="A24">
        <v>23</v>
      </c>
      <c r="B24" s="1">
        <v>2546.4</v>
      </c>
      <c r="C24" s="1">
        <f t="shared" ref="C24" si="63">C23+alpha*(B23-C23)</f>
        <v>2154.6665964123254</v>
      </c>
      <c r="D24">
        <f t="shared" ref="D24" si="64">ABS((B24-C24)/B24)</f>
        <v>0.1538381258198534</v>
      </c>
      <c r="E24">
        <f t="shared" ref="E24" si="65">(B24-C24)^2</f>
        <v>153455.05948638407</v>
      </c>
    </row>
    <row r="25" spans="1:5" x14ac:dyDescent="0.45">
      <c r="A25">
        <v>24</v>
      </c>
      <c r="B25" s="1">
        <v>2322</v>
      </c>
      <c r="C25" s="1">
        <f t="shared" ref="C25" si="66">C24+alpha*(B24-C24)</f>
        <v>2267.2178686038724</v>
      </c>
      <c r="D25">
        <f t="shared" ref="D25" si="67">ABS((B25-C25)/B25)</f>
        <v>2.359264918007219E-2</v>
      </c>
      <c r="E25">
        <f t="shared" ref="E25" si="68">(B25-C25)^2</f>
        <v>3001.0819203025922</v>
      </c>
    </row>
    <row r="26" spans="1:5" x14ac:dyDescent="0.45">
      <c r="A26">
        <v>25</v>
      </c>
      <c r="B26" s="1">
        <v>2295.6</v>
      </c>
      <c r="C26" s="1">
        <f t="shared" ref="C26" si="69">C25+alpha*(B25-C25)</f>
        <v>2282.9576511333412</v>
      </c>
      <c r="D26">
        <f t="shared" ref="D26" si="70">ABS((B26-C26)/B26)</f>
        <v>5.5072089504524836E-3</v>
      </c>
      <c r="E26">
        <f t="shared" ref="E26" si="71">(B26-C26)^2</f>
        <v>159.82898486630708</v>
      </c>
    </row>
    <row r="27" spans="1:5" x14ac:dyDescent="0.45">
      <c r="A27">
        <v>26</v>
      </c>
      <c r="B27" s="1">
        <v>2632.7999999999997</v>
      </c>
      <c r="C27" s="1">
        <f t="shared" ref="C27" si="72">C26+alpha*(B26-C26)</f>
        <v>2286.5900001630644</v>
      </c>
      <c r="D27">
        <f t="shared" ref="D27" si="73">ABS((B27-C27)/B27)</f>
        <v>0.13149878450202651</v>
      </c>
      <c r="E27">
        <f t="shared" ref="E27" si="74">(B27-C27)^2</f>
        <v>119861.36398709079</v>
      </c>
    </row>
    <row r="28" spans="1:5" x14ac:dyDescent="0.45">
      <c r="A28">
        <v>27</v>
      </c>
      <c r="B28" s="1">
        <v>2574</v>
      </c>
      <c r="C28" s="1">
        <f t="shared" ref="C28" si="75">C27+alpha*(B27-C27)</f>
        <v>2386.0616703607302</v>
      </c>
      <c r="D28">
        <f t="shared" ref="D28" si="76">ABS((B28-C28)/B28)</f>
        <v>7.3014114078970391E-2</v>
      </c>
      <c r="E28">
        <f t="shared" ref="E28" si="77">(B28-C28)^2</f>
        <v>35320.815747598834</v>
      </c>
    </row>
    <row r="29" spans="1:5" x14ac:dyDescent="0.45">
      <c r="A29">
        <v>28</v>
      </c>
      <c r="B29" s="1">
        <v>2646</v>
      </c>
      <c r="C29" s="1">
        <f t="shared" ref="C29" si="78">C28+alpha*(B28-C28)</f>
        <v>2440.0593583309874</v>
      </c>
      <c r="D29">
        <f t="shared" ref="D29" si="79">ABS((B29-C29)/B29)</f>
        <v>7.7830930335983609E-2</v>
      </c>
      <c r="E29">
        <f t="shared" ref="E29" si="80">(B29-C29)^2</f>
        <v>42411.547891044655</v>
      </c>
    </row>
    <row r="30" spans="1:5" x14ac:dyDescent="0.45">
      <c r="A30">
        <v>29</v>
      </c>
      <c r="B30" s="1">
        <v>2014.8</v>
      </c>
      <c r="C30" s="1">
        <f t="shared" ref="C30" si="81">C29+alpha*(B29-C29)</f>
        <v>2499.229398474381</v>
      </c>
      <c r="D30">
        <f t="shared" ref="D30" si="82">ABS((B30-C30)/B30)</f>
        <v>0.24043547670953994</v>
      </c>
      <c r="E30">
        <f t="shared" ref="E30" si="83">(B30-C30)^2</f>
        <v>234671.84210625067</v>
      </c>
    </row>
    <row r="31" spans="1:5" x14ac:dyDescent="0.45">
      <c r="A31">
        <v>30</v>
      </c>
      <c r="B31" s="1">
        <v>1998</v>
      </c>
      <c r="C31" s="1">
        <f t="shared" ref="C31" si="84">C30+alpha*(B30-C30)</f>
        <v>2360.0450843823751</v>
      </c>
      <c r="D31">
        <f t="shared" ref="D31" si="85">ABS((B31-C31)/B31)</f>
        <v>0.18120374593712466</v>
      </c>
      <c r="E31">
        <f t="shared" ref="E31" si="86">(B31-C31)^2</f>
        <v>131076.6431254411</v>
      </c>
    </row>
    <row r="32" spans="1:5" x14ac:dyDescent="0.45">
      <c r="A32">
        <v>31</v>
      </c>
      <c r="B32" s="1">
        <v>2976</v>
      </c>
      <c r="C32" s="1">
        <f t="shared" ref="C32" si="87">C31+alpha*(B31-C31)</f>
        <v>2256.0237411302101</v>
      </c>
      <c r="D32">
        <f t="shared" ref="D32" si="88">ABS((B32-C32)/B32)</f>
        <v>0.24192750634065521</v>
      </c>
      <c r="E32">
        <f t="shared" ref="E32" si="89">(B32-C32)^2</f>
        <v>518365.81333613879</v>
      </c>
    </row>
    <row r="33" spans="1:5" x14ac:dyDescent="0.45">
      <c r="A33">
        <v>32</v>
      </c>
      <c r="B33" s="1">
        <v>1867.1999999999998</v>
      </c>
      <c r="C33" s="1">
        <f t="shared" ref="C33" si="90">C32+alpha*(B32-C32)</f>
        <v>2462.8844355242968</v>
      </c>
      <c r="D33">
        <f t="shared" ref="D33" si="91">ABS((B33-C33)/B33)</f>
        <v>0.31902551174180432</v>
      </c>
      <c r="E33">
        <f t="shared" ref="E33" si="92">(B33-C33)^2</f>
        <v>354839.94672590034</v>
      </c>
    </row>
    <row r="34" spans="1:5" x14ac:dyDescent="0.45">
      <c r="A34">
        <v>33</v>
      </c>
      <c r="B34" s="1">
        <v>1845.6</v>
      </c>
      <c r="C34" s="1">
        <f t="shared" ref="C34" si="93">C33+alpha*(B33-C33)</f>
        <v>2291.7347698870703</v>
      </c>
      <c r="D34">
        <f t="shared" ref="D34" si="94">ABS((B34-C34)/B34)</f>
        <v>0.2417288523445332</v>
      </c>
      <c r="E34">
        <f t="shared" ref="E34" si="95">(B34-C34)^2</f>
        <v>199036.23290218928</v>
      </c>
    </row>
    <row r="35" spans="1:5" x14ac:dyDescent="0.45">
      <c r="A35">
        <v>34</v>
      </c>
      <c r="B35" s="1">
        <v>2764.7999999999997</v>
      </c>
      <c r="C35" s="1">
        <f t="shared" ref="C35" si="96">C34+alpha*(B34-C34)</f>
        <v>2163.5531150682605</v>
      </c>
      <c r="D35">
        <f t="shared" ref="D35" si="97">ABS((B35-C35)/B35)</f>
        <v>0.21746487446894508</v>
      </c>
      <c r="E35">
        <f t="shared" ref="E35" si="98">(B35-C35)^2</f>
        <v>361497.81664012012</v>
      </c>
    </row>
    <row r="36" spans="1:5" x14ac:dyDescent="0.45">
      <c r="A36">
        <v>35</v>
      </c>
      <c r="B36" s="1">
        <v>2088</v>
      </c>
      <c r="C36" s="1">
        <f t="shared" ref="C36" si="99">C35+alpha*(B35-C35)</f>
        <v>2336.300961385447</v>
      </c>
      <c r="D36">
        <f t="shared" ref="D36" si="100">ABS((B36-C36)/B36)</f>
        <v>0.11891808495471598</v>
      </c>
      <c r="E36">
        <f t="shared" ref="E36" si="101">(B36-C36)^2</f>
        <v>61653.36742493722</v>
      </c>
    </row>
    <row r="37" spans="1:5" x14ac:dyDescent="0.45">
      <c r="A37">
        <v>36</v>
      </c>
      <c r="B37" s="1">
        <v>2553.6</v>
      </c>
      <c r="C37" s="1">
        <f t="shared" ref="C37" si="102">C36+alpha*(B36-C36)</f>
        <v>2264.9601238812452</v>
      </c>
      <c r="D37">
        <f t="shared" ref="D37" si="103">ABS((B37-C37)/B37)</f>
        <v>0.11303253294124167</v>
      </c>
      <c r="E37">
        <f t="shared" ref="E37" si="104">(B37-C37)^2</f>
        <v>83312.978085850074</v>
      </c>
    </row>
    <row r="38" spans="1:5" x14ac:dyDescent="0.45">
      <c r="A38">
        <v>37</v>
      </c>
      <c r="B38" s="1">
        <v>1980</v>
      </c>
      <c r="C38" s="1">
        <f t="shared" ref="C38" si="105">C37+alpha*(B37-C37)</f>
        <v>2347.890976764475</v>
      </c>
      <c r="D38">
        <f t="shared" ref="D38" si="106">ABS((B38-C38)/B38)</f>
        <v>0.18580352361842173</v>
      </c>
      <c r="E38">
        <f t="shared" ref="E38" si="107">(B38-C38)^2</f>
        <v>135343.7707847195</v>
      </c>
    </row>
    <row r="39" spans="1:5" x14ac:dyDescent="0.45">
      <c r="A39">
        <v>38</v>
      </c>
      <c r="B39" s="1">
        <v>2842.7999999999997</v>
      </c>
      <c r="C39" s="1">
        <f t="shared" ref="C39" si="108">C38+alpha*(B38-C38)</f>
        <v>2242.1900151323757</v>
      </c>
      <c r="D39">
        <f t="shared" ref="D39" si="109">ABS((B39-C39)/B39)</f>
        <v>0.21127409063867456</v>
      </c>
      <c r="E39">
        <f t="shared" ref="E39" si="110">(B39-C39)^2</f>
        <v>360732.35392268753</v>
      </c>
    </row>
    <row r="40" spans="1:5" x14ac:dyDescent="0.45">
      <c r="A40">
        <v>39</v>
      </c>
      <c r="B40" s="1">
        <v>2328</v>
      </c>
      <c r="C40" s="1">
        <f t="shared" ref="C40" si="111">C39+alpha*(B39-C39)</f>
        <v>2414.7548698746323</v>
      </c>
      <c r="D40">
        <f t="shared" ref="D40" si="112">ABS((B40-C40)/B40)</f>
        <v>3.7265837575013866E-2</v>
      </c>
      <c r="E40">
        <f t="shared" ref="E40" si="113">(B40-C40)^2</f>
        <v>7526.4074469643792</v>
      </c>
    </row>
    <row r="41" spans="1:5" x14ac:dyDescent="0.45">
      <c r="A41">
        <v>40</v>
      </c>
      <c r="B41" s="1">
        <v>2404</v>
      </c>
      <c r="C41" s="1">
        <f t="shared" ref="C41" si="114">C40+alpha*(B40-C40)</f>
        <v>2389.8288082118397</v>
      </c>
      <c r="D41">
        <f t="shared" ref="D41" si="115">ABS((B41-C41)/B41)</f>
        <v>5.8948385142097697E-3</v>
      </c>
      <c r="E41">
        <f t="shared" ref="E41" si="116">(B41-C41)^2</f>
        <v>200.82267669682153</v>
      </c>
    </row>
    <row r="42" spans="1:5" x14ac:dyDescent="0.45">
      <c r="A42">
        <v>41</v>
      </c>
      <c r="B42" s="1">
        <v>1614</v>
      </c>
      <c r="C42" s="1">
        <f t="shared" ref="C42" si="117">C41+alpha*(B41-C41)</f>
        <v>2393.9004182650551</v>
      </c>
      <c r="D42">
        <f t="shared" ref="D42" si="118">ABS((B42-C42)/B42)</f>
        <v>0.48320967674414816</v>
      </c>
      <c r="E42">
        <f t="shared" ref="E42" si="119">(B42-C42)^2</f>
        <v>608244.66241000791</v>
      </c>
    </row>
    <row r="43" spans="1:5" x14ac:dyDescent="0.45">
      <c r="A43">
        <v>42</v>
      </c>
      <c r="B43" s="1">
        <v>1851</v>
      </c>
      <c r="C43" s="1">
        <f t="shared" ref="C43" si="120">C42+alpha*(B42-C42)</f>
        <v>2169.8225544563188</v>
      </c>
      <c r="D43">
        <f t="shared" ref="D43" si="121">ABS((B43-C43)/B43)</f>
        <v>0.17224341137564494</v>
      </c>
      <c r="E43">
        <f t="shared" ref="E43" si="122">(B43-C43)^2</f>
        <v>101647.82123005237</v>
      </c>
    </row>
    <row r="44" spans="1:5" x14ac:dyDescent="0.45">
      <c r="A44">
        <v>43</v>
      </c>
      <c r="B44" s="1">
        <v>1648</v>
      </c>
      <c r="C44" s="1">
        <f t="shared" ref="C44" si="123">C43+alpha*(B43-C43)</f>
        <v>2078.2197353482816</v>
      </c>
      <c r="D44">
        <f t="shared" ref="D44" si="124">ABS((B44-C44)/B44)</f>
        <v>0.2610556646530835</v>
      </c>
      <c r="E44">
        <f t="shared" ref="E44" si="125">(B44-C44)^2</f>
        <v>185089.02068314544</v>
      </c>
    </row>
    <row r="45" spans="1:5" x14ac:dyDescent="0.45">
      <c r="A45">
        <v>44</v>
      </c>
      <c r="B45" s="1">
        <v>1637</v>
      </c>
      <c r="C45" s="1">
        <f t="shared" ref="C45" si="126">C44+alpha*(B44-C44)</f>
        <v>1954.6107244957709</v>
      </c>
      <c r="D45">
        <f t="shared" ref="D45" si="127">ABS((B45-C45)/B45)</f>
        <v>0.19401999052887656</v>
      </c>
      <c r="E45">
        <f t="shared" ref="E45" si="128">(B45-C45)^2</f>
        <v>100876.57231472849</v>
      </c>
    </row>
    <row r="46" spans="1:5" x14ac:dyDescent="0.45">
      <c r="A46">
        <v>45</v>
      </c>
      <c r="B46" s="1">
        <v>2211.3000000000002</v>
      </c>
      <c r="C46" s="1">
        <f t="shared" ref="C46" si="129">C45+alpha*(B45-C45)</f>
        <v>1863.3560835172739</v>
      </c>
      <c r="D46">
        <f t="shared" ref="D46" si="130">ABS((B46-C46)/B46)</f>
        <v>0.15734812846865023</v>
      </c>
      <c r="E46">
        <f t="shared" ref="E46" si="131">(B46-C46)^2</f>
        <v>121064.96901733842</v>
      </c>
    </row>
    <row r="47" spans="1:5" x14ac:dyDescent="0.45">
      <c r="A47">
        <v>46</v>
      </c>
      <c r="B47" s="1">
        <v>1754.1000000000001</v>
      </c>
      <c r="C47" s="1">
        <f t="shared" ref="C47" si="132">C46+alpha*(B46-C46)</f>
        <v>1963.3259356993472</v>
      </c>
      <c r="D47">
        <f t="shared" ref="D47" si="133">ABS((B47-C47)/B47)</f>
        <v>0.11927822569941679</v>
      </c>
      <c r="E47">
        <f t="shared" ref="E47" si="134">(B47-C47)^2</f>
        <v>43775.492169267294</v>
      </c>
    </row>
    <row r="48" spans="1:5" x14ac:dyDescent="0.45">
      <c r="A48">
        <v>47</v>
      </c>
      <c r="B48" s="1">
        <v>1600.2</v>
      </c>
      <c r="C48" s="1">
        <f t="shared" ref="C48" si="135">C47+alpha*(B47-C47)</f>
        <v>1903.2119780364085</v>
      </c>
      <c r="D48">
        <f t="shared" ref="D48" si="136">ABS((B48-C48)/B48)</f>
        <v>0.18935881642070268</v>
      </c>
      <c r="E48">
        <f t="shared" ref="E48" si="137">(B48-C48)^2</f>
        <v>91816.258833536864</v>
      </c>
    </row>
    <row r="49" spans="1:5" x14ac:dyDescent="0.45">
      <c r="A49">
        <v>48</v>
      </c>
      <c r="B49" s="1">
        <v>2001.6000000000001</v>
      </c>
      <c r="C49" s="1">
        <f t="shared" ref="C49" si="138">C48+alpha*(B48-C48)</f>
        <v>1816.1517904064253</v>
      </c>
      <c r="D49">
        <f t="shared" ref="D49" si="139">ABS((B49-C49)/B49)</f>
        <v>9.2649984808940239E-2</v>
      </c>
      <c r="E49">
        <f t="shared" ref="E49" si="140">(B49-C49)^2</f>
        <v>34391.03844146245</v>
      </c>
    </row>
    <row r="50" spans="1:5" x14ac:dyDescent="0.45">
      <c r="A50">
        <v>49</v>
      </c>
      <c r="B50" s="1">
        <v>1812.6000000000001</v>
      </c>
      <c r="C50" s="1">
        <f t="shared" ref="C50" si="141">C49+alpha*(B49-C49)</f>
        <v>1869.4340270608495</v>
      </c>
      <c r="D50">
        <f t="shared" ref="D50" si="142">ABS((B50-C50)/B50)</f>
        <v>3.1354974655660041E-2</v>
      </c>
      <c r="E50">
        <f t="shared" ref="E50" si="143">(B50-C50)^2</f>
        <v>3230.1066319533611</v>
      </c>
    </row>
    <row r="51" spans="1:5" x14ac:dyDescent="0.45">
      <c r="A51">
        <v>50</v>
      </c>
      <c r="B51" s="1">
        <v>2025</v>
      </c>
      <c r="C51" s="1">
        <f t="shared" ref="C51" si="144">C50+alpha*(B50-C50)</f>
        <v>1853.1047020891133</v>
      </c>
      <c r="D51">
        <f t="shared" ref="D51" si="145">ABS((B51-C51)/B51)</f>
        <v>8.4886566869573687E-2</v>
      </c>
      <c r="E51">
        <f t="shared" ref="E51" si="146">(B51-C51)^2</f>
        <v>29547.993443872492</v>
      </c>
    </row>
    <row r="52" spans="1:5" x14ac:dyDescent="0.45">
      <c r="A52">
        <v>51</v>
      </c>
      <c r="B52" s="1">
        <v>1508.4</v>
      </c>
      <c r="C52" s="1">
        <f t="shared" ref="C52" si="147">C51+alpha*(B51-C51)</f>
        <v>1902.4929704533279</v>
      </c>
      <c r="D52">
        <f t="shared" ref="D52" si="148">ABS((B52-C52)/B52)</f>
        <v>0.26126555983381577</v>
      </c>
      <c r="E52">
        <f t="shared" ref="E52" si="149">(B52-C52)^2</f>
        <v>155309.26936072749</v>
      </c>
    </row>
    <row r="53" spans="1:5" x14ac:dyDescent="0.45">
      <c r="A53">
        <v>52</v>
      </c>
      <c r="B53" s="1">
        <v>1693.8</v>
      </c>
      <c r="C53" s="1">
        <f t="shared" ref="C53" si="150">C52+alpha*(B52-C52)</f>
        <v>1789.2637569626268</v>
      </c>
      <c r="D53">
        <f t="shared" ref="D53" si="151">ABS((B53-C53)/B53)</f>
        <v>5.6360701949832809E-2</v>
      </c>
      <c r="E53">
        <f t="shared" ref="E53" si="152">(B53-C53)^2</f>
        <v>9113.328893419477</v>
      </c>
    </row>
    <row r="54" spans="1:5" x14ac:dyDescent="0.45">
      <c r="A54">
        <v>53</v>
      </c>
      <c r="B54" s="1">
        <v>2007</v>
      </c>
      <c r="C54" s="1">
        <f t="shared" ref="C54" si="153">C53+alpha*(B53-C53)</f>
        <v>1761.8354927504747</v>
      </c>
      <c r="D54">
        <f t="shared" ref="D54" si="154">ABS((B54-C54)/B54)</f>
        <v>0.1221547121322996</v>
      </c>
      <c r="E54">
        <f t="shared" ref="E54" si="155">(B54-C54)^2</f>
        <v>60105.635614902538</v>
      </c>
    </row>
    <row r="55" spans="1:5" x14ac:dyDescent="0.45">
      <c r="A55">
        <v>54</v>
      </c>
      <c r="B55" s="1">
        <v>1642.5</v>
      </c>
      <c r="C55" s="1">
        <f t="shared" ref="C55" si="156">C54+alpha*(B54-C54)</f>
        <v>1832.2751768173252</v>
      </c>
      <c r="D55">
        <f t="shared" ref="D55" si="157">ABS((B55-C55)/B55)</f>
        <v>0.11554044250674292</v>
      </c>
      <c r="E55">
        <f t="shared" ref="E55" si="158">(B55-C55)^2</f>
        <v>36014.617736047061</v>
      </c>
    </row>
    <row r="56" spans="1:5" x14ac:dyDescent="0.45">
      <c r="A56">
        <v>55</v>
      </c>
      <c r="B56" s="1">
        <v>1917</v>
      </c>
      <c r="C56" s="1">
        <f t="shared" ref="C56" si="159">C55+alpha*(B55-C55)</f>
        <v>1777.7497332744815</v>
      </c>
      <c r="D56">
        <f t="shared" ref="D56" si="160">ABS((B56-C56)/B56)</f>
        <v>7.2639680086342459E-2</v>
      </c>
      <c r="E56">
        <f t="shared" ref="E56" si="161">(B56-C56)^2</f>
        <v>19390.63678312804</v>
      </c>
    </row>
    <row r="57" spans="1:5" x14ac:dyDescent="0.45">
      <c r="A57">
        <v>56</v>
      </c>
      <c r="B57" s="1">
        <v>1721.7</v>
      </c>
      <c r="C57" s="1">
        <f t="shared" ref="C57" si="162">C56+alpha*(B56-C56)</f>
        <v>1817.7585620581153</v>
      </c>
      <c r="D57">
        <f t="shared" ref="D57" si="163">ABS((B57-C57)/B57)</f>
        <v>5.5792857093637266E-2</v>
      </c>
      <c r="E57">
        <f t="shared" ref="E57" si="164">(B57-C57)^2</f>
        <v>9227.2473446727854</v>
      </c>
    </row>
    <row r="58" spans="1:5" x14ac:dyDescent="0.45">
      <c r="A58">
        <v>57</v>
      </c>
      <c r="B58" s="1">
        <v>1440</v>
      </c>
      <c r="C58" s="1">
        <f t="shared" ref="C58" si="165">C57+alpha*(B57-C57)</f>
        <v>1790.1594008287825</v>
      </c>
      <c r="D58">
        <f t="shared" ref="D58" si="166">ABS((B58-C58)/B58)</f>
        <v>0.24316625057554342</v>
      </c>
      <c r="E58">
        <f t="shared" ref="E58" si="167">(B58-C58)^2</f>
        <v>122611.60598877197</v>
      </c>
    </row>
    <row r="59" spans="1:5" x14ac:dyDescent="0.45">
      <c r="A59">
        <v>58</v>
      </c>
      <c r="B59" s="1">
        <v>1775.7</v>
      </c>
      <c r="C59" s="1">
        <f t="shared" ref="C59" si="168">C58+alpha*(B58-C58)</f>
        <v>1689.5530045598753</v>
      </c>
      <c r="D59">
        <f t="shared" ref="D59" si="169">ABS((B59-C59)/B59)</f>
        <v>4.8514386123852442E-2</v>
      </c>
      <c r="E59">
        <f t="shared" ref="E59" si="170">(B59-C59)^2</f>
        <v>7421.3048233608806</v>
      </c>
    </row>
    <row r="60" spans="1:5" x14ac:dyDescent="0.45">
      <c r="A60">
        <v>59</v>
      </c>
      <c r="B60" s="1">
        <v>2242.8000000000002</v>
      </c>
      <c r="C60" s="1">
        <f t="shared" ref="C60" si="171">C59+alpha*(B59-C59)</f>
        <v>1714.3044141753571</v>
      </c>
      <c r="D60">
        <f t="shared" ref="D60" si="172">ABS((B60-C60)/B60)</f>
        <v>0.23564097816329724</v>
      </c>
      <c r="E60">
        <f t="shared" ref="E60" si="173">(B60-C60)^2</f>
        <v>279307.58423613268</v>
      </c>
    </row>
    <row r="61" spans="1:5" x14ac:dyDescent="0.45">
      <c r="A61">
        <v>60</v>
      </c>
      <c r="B61" s="1">
        <v>1638.9</v>
      </c>
      <c r="C61" s="1">
        <f t="shared" ref="C61" si="174">C60+alpha*(B60-C60)</f>
        <v>1866.1496486828289</v>
      </c>
      <c r="D61">
        <f t="shared" ref="D61" si="175">ABS((B61-C61)/B61)</f>
        <v>0.13865986251926829</v>
      </c>
      <c r="E61">
        <f t="shared" ref="E61" si="176">(B61-C61)^2</f>
        <v>51642.402826469122</v>
      </c>
    </row>
    <row r="62" spans="1:5" x14ac:dyDescent="0.45">
      <c r="A62">
        <v>61</v>
      </c>
      <c r="B62" s="1">
        <v>1717.2</v>
      </c>
      <c r="C62" s="1">
        <f t="shared" ref="C62" si="177">C61+alpha*(B61-C61)</f>
        <v>1800.8571900104603</v>
      </c>
      <c r="D62">
        <f t="shared" ref="D62" si="178">ABS((B62-C62)/B62)</f>
        <v>4.871720825207327E-2</v>
      </c>
      <c r="E62">
        <f t="shared" ref="E62" si="179">(B62-C62)^2</f>
        <v>6998.5254404462466</v>
      </c>
    </row>
    <row r="63" spans="1:5" x14ac:dyDescent="0.45">
      <c r="A63">
        <v>62</v>
      </c>
      <c r="B63" s="1">
        <v>2664.2000000000003</v>
      </c>
      <c r="C63" s="1">
        <f t="shared" ref="C63" si="180">C62+alpha*(B62-C62)</f>
        <v>1776.8211413165941</v>
      </c>
      <c r="D63">
        <f t="shared" ref="D63" si="181">ABS((B63-C63)/B63)</f>
        <v>0.33307516653532243</v>
      </c>
      <c r="E63">
        <f t="shared" ref="E63" si="182">(B63-C63)^2</f>
        <v>787441.2388382646</v>
      </c>
    </row>
    <row r="64" spans="1:5" x14ac:dyDescent="0.45">
      <c r="A64">
        <v>63</v>
      </c>
      <c r="B64" s="1">
        <v>2063.6000000000004</v>
      </c>
      <c r="C64" s="1">
        <f t="shared" ref="C64" si="183">C63+alpha*(B63-C63)</f>
        <v>2031.7792800558325</v>
      </c>
      <c r="D64">
        <f t="shared" ref="D64" si="184">ABS((B64-C64)/B64)</f>
        <v>1.5420003849664601E-2</v>
      </c>
      <c r="E64">
        <f t="shared" ref="E64" si="185">(B64-C64)^2</f>
        <v>1012.5582177651632</v>
      </c>
    </row>
    <row r="65" spans="1:5" x14ac:dyDescent="0.45">
      <c r="A65">
        <v>64</v>
      </c>
      <c r="B65" s="1">
        <v>1993.2000000000003</v>
      </c>
      <c r="C65" s="1">
        <f t="shared" ref="C65" si="186">C64+alpha*(B64-C64)</f>
        <v>2040.9218818328736</v>
      </c>
      <c r="D65">
        <f t="shared" ref="D65" si="187">ABS((B65-C65)/B65)</f>
        <v>2.3942344889059473E-2</v>
      </c>
      <c r="E65">
        <f t="shared" ref="E65" si="188">(B65-C65)^2</f>
        <v>2277.3780056707274</v>
      </c>
    </row>
    <row r="66" spans="1:5" x14ac:dyDescent="0.45">
      <c r="A66">
        <v>65</v>
      </c>
      <c r="B66" s="1">
        <v>1870.0000000000002</v>
      </c>
      <c r="C66" s="1">
        <f t="shared" ref="C66" si="189">C65+alpha*(B65-C65)</f>
        <v>2027.2106219237799</v>
      </c>
      <c r="D66">
        <f t="shared" ref="D66" si="190">ABS((B66-C66)/B66)</f>
        <v>8.4069851296138823E-2</v>
      </c>
      <c r="E66">
        <f t="shared" ref="E66" si="191">(B66-C66)^2</f>
        <v>24715.179645661581</v>
      </c>
    </row>
    <row r="67" spans="1:5" x14ac:dyDescent="0.45">
      <c r="A67">
        <v>66</v>
      </c>
      <c r="B67" s="1">
        <v>2328</v>
      </c>
      <c r="C67" s="1">
        <f t="shared" ref="C67" si="192">C66+alpha*(B66-C66)</f>
        <v>1982.0414958357476</v>
      </c>
      <c r="D67">
        <f t="shared" ref="D67" si="193">ABS((B67-C67)/B67)</f>
        <v>0.14860760488155172</v>
      </c>
      <c r="E67">
        <f t="shared" ref="E67" si="194">(B67-C67)^2</f>
        <v>119687.28660356706</v>
      </c>
    </row>
    <row r="68" spans="1:5" x14ac:dyDescent="0.45">
      <c r="A68">
        <v>67</v>
      </c>
      <c r="B68" s="1">
        <v>1825.2</v>
      </c>
      <c r="C68" s="1">
        <f t="shared" ref="C68" si="195">C67+alpha*(B67-C67)</f>
        <v>2081.440907304258</v>
      </c>
      <c r="D68">
        <f t="shared" ref="D68" si="196">ABS((B68-C68)/B68)</f>
        <v>0.14039059133478957</v>
      </c>
      <c r="E68">
        <f t="shared" ref="E68" si="197">(B68-C68)^2</f>
        <v>65659.402576109293</v>
      </c>
    </row>
    <row r="69" spans="1:5" x14ac:dyDescent="0.45">
      <c r="A69">
        <v>68</v>
      </c>
      <c r="B69" s="1">
        <v>2660.4</v>
      </c>
      <c r="C69" s="1">
        <f t="shared" ref="C69" si="198">C68+alpha*(B68-C68)</f>
        <v>2007.8187963469632</v>
      </c>
      <c r="D69">
        <f t="shared" ref="D69" si="199">ABS((B69-C69)/B69)</f>
        <v>0.24529439319389448</v>
      </c>
      <c r="E69">
        <f t="shared" ref="E69" si="200">(B69-C69)^2</f>
        <v>425862.22736124648</v>
      </c>
    </row>
    <row r="70" spans="1:5" x14ac:dyDescent="0.45">
      <c r="A70">
        <v>69</v>
      </c>
      <c r="B70" s="1">
        <v>2955.6</v>
      </c>
      <c r="C70" s="1">
        <f t="shared" ref="C70" si="201">C69+alpha*(B69-C69)</f>
        <v>2195.3158134682044</v>
      </c>
      <c r="D70">
        <f t="shared" ref="D70" si="202">ABS((B70-C70)/B70)</f>
        <v>0.25723514228305439</v>
      </c>
      <c r="E70">
        <f t="shared" ref="E70" si="203">(B70-C70)^2</f>
        <v>578032.04429031408</v>
      </c>
    </row>
    <row r="71" spans="1:5" x14ac:dyDescent="0.45">
      <c r="A71">
        <v>70</v>
      </c>
      <c r="B71" s="1">
        <v>2642.4</v>
      </c>
      <c r="C71" s="1">
        <f t="shared" ref="C71" si="204">C70+alpha*(B70-C70)</f>
        <v>2413.7576201601305</v>
      </c>
      <c r="D71">
        <f t="shared" ref="D71" si="205">ABS((B71-C71)/B71)</f>
        <v>8.6528299969675135E-2</v>
      </c>
      <c r="E71">
        <f t="shared" ref="E71" si="206">(B71-C71)^2</f>
        <v>52277.337858839208</v>
      </c>
    </row>
    <row r="72" spans="1:5" x14ac:dyDescent="0.45">
      <c r="A72">
        <v>71</v>
      </c>
      <c r="B72" s="1">
        <v>2485.1999999999998</v>
      </c>
      <c r="C72" s="1">
        <f t="shared" ref="C72" si="207">C71+alpha*(B71-C71)</f>
        <v>2479.4502327691052</v>
      </c>
      <c r="D72">
        <f t="shared" ref="D72" si="208">ABS((B72-C72)/B72)</f>
        <v>2.3136034246316502E-3</v>
      </c>
      <c r="E72">
        <f t="shared" ref="E72" si="209">(B72-C72)^2</f>
        <v>33.059823209469087</v>
      </c>
    </row>
    <row r="73" spans="1:5" x14ac:dyDescent="0.45">
      <c r="A73">
        <v>72</v>
      </c>
      <c r="B73" s="1">
        <v>2701.2</v>
      </c>
      <c r="C73" s="1">
        <f t="shared" ref="C73" si="210">C72+alpha*(B72-C72)</f>
        <v>2481.1022328556837</v>
      </c>
      <c r="D73">
        <f t="shared" ref="D73" si="211">ABS((B73-C73)/B73)</f>
        <v>8.1481477544911932E-2</v>
      </c>
      <c r="E73">
        <f t="shared" ref="E73" si="212">(B73-C73)^2</f>
        <v>48443.027101913591</v>
      </c>
    </row>
    <row r="74" spans="1:5" x14ac:dyDescent="0.45">
      <c r="A74">
        <v>73</v>
      </c>
      <c r="B74" s="1">
        <v>2676</v>
      </c>
      <c r="C74" s="1">
        <f t="shared" ref="C74" si="213">C73+alpha*(B73-C73)</f>
        <v>2544.3398415756337</v>
      </c>
      <c r="D74">
        <f t="shared" ref="D74" si="214">ABS((B74-C74)/B74)</f>
        <v>4.9200358155592774E-2</v>
      </c>
      <c r="E74">
        <f t="shared" ref="E74" si="215">(B74-C74)^2</f>
        <v>17334.397316329225</v>
      </c>
    </row>
    <row r="75" spans="1:5" x14ac:dyDescent="0.45">
      <c r="A75">
        <v>74</v>
      </c>
      <c r="B75" s="1">
        <v>2470.7999999999997</v>
      </c>
      <c r="C75" s="1">
        <f t="shared" ref="C75" si="216">C74+alpha*(B74-C74)</f>
        <v>2582.1679108489921</v>
      </c>
      <c r="D75">
        <f t="shared" ref="D75" si="217">ABS((B75-C75)/B75)</f>
        <v>4.5073624271083183E-2</v>
      </c>
      <c r="E75">
        <f t="shared" ref="E75" si="218">(B75-C75)^2</f>
        <v>12402.811566869103</v>
      </c>
    </row>
    <row r="76" spans="1:5" x14ac:dyDescent="0.45">
      <c r="A76">
        <v>75</v>
      </c>
      <c r="B76" s="1">
        <v>2274</v>
      </c>
      <c r="C76" s="1">
        <f t="shared" ref="C76" si="219">C75+alpha*(B75-C75)</f>
        <v>2550.1701288560057</v>
      </c>
      <c r="D76">
        <f t="shared" ref="D76" si="220">ABS((B76-C76)/B76)</f>
        <v>0.12144684646262344</v>
      </c>
      <c r="E76">
        <f t="shared" ref="E76" si="221">(B76-C76)^2</f>
        <v>76269.940072342797</v>
      </c>
    </row>
    <row r="77" spans="1:5" x14ac:dyDescent="0.45">
      <c r="A77">
        <v>76</v>
      </c>
      <c r="B77" s="1">
        <v>2916</v>
      </c>
      <c r="C77" s="1">
        <f t="shared" ref="C77" si="222">C76+alpha*(B76-C76)</f>
        <v>2470.8220338011247</v>
      </c>
      <c r="D77">
        <f t="shared" ref="D77" si="223">ABS((B77-C77)/B77)</f>
        <v>0.15266734094611636</v>
      </c>
      <c r="E77">
        <f t="shared" ref="E77" si="224">(B77-C77)^2</f>
        <v>198183.42158896697</v>
      </c>
    </row>
    <row r="78" spans="1:5" x14ac:dyDescent="0.45">
      <c r="A78">
        <v>77</v>
      </c>
      <c r="B78" s="1">
        <v>2569.1999999999998</v>
      </c>
      <c r="C78" s="1">
        <f t="shared" ref="C78" si="225">C77+alpha*(B77-C77)</f>
        <v>2598.7287836173036</v>
      </c>
      <c r="D78">
        <f t="shared" ref="D78" si="226">ABS((B78-C78)/B78)</f>
        <v>1.1493376777714392E-2</v>
      </c>
      <c r="E78">
        <f t="shared" ref="E78" si="227">(B78-C78)^2</f>
        <v>871.94906191755024</v>
      </c>
    </row>
    <row r="79" spans="1:5" x14ac:dyDescent="0.45">
      <c r="A79">
        <v>78</v>
      </c>
      <c r="B79" s="1">
        <v>2727.6</v>
      </c>
      <c r="C79" s="1">
        <f t="shared" ref="C79" si="228">C78+alpha*(B78-C78)</f>
        <v>2590.2446918039473</v>
      </c>
      <c r="D79">
        <f t="shared" ref="D79" si="229">ABS((B79-C79)/B79)</f>
        <v>5.0357570096807691E-2</v>
      </c>
      <c r="E79">
        <f t="shared" ref="E79" si="230">(B79-C79)^2</f>
        <v>18866.480689632608</v>
      </c>
    </row>
    <row r="80" spans="1:5" x14ac:dyDescent="0.45">
      <c r="A80">
        <v>79</v>
      </c>
      <c r="B80" s="1">
        <v>2744.4</v>
      </c>
      <c r="C80" s="1">
        <f t="shared" ref="C80" si="231">C79+alpha*(B79-C79)</f>
        <v>2629.7090686943079</v>
      </c>
      <c r="D80">
        <f t="shared" ref="D80" si="232">ABS((B80-C80)/B80)</f>
        <v>4.1790894660287195E-2</v>
      </c>
      <c r="E80">
        <f t="shared" ref="E80" si="233">(B80-C80)^2</f>
        <v>13154.009723767002</v>
      </c>
    </row>
    <row r="81" spans="1:5" x14ac:dyDescent="0.45">
      <c r="A81">
        <v>80</v>
      </c>
      <c r="B81" s="1">
        <v>2062.7999999999997</v>
      </c>
      <c r="C81" s="1">
        <f t="shared" ref="C81" si="234">C80+alpha*(B80-C80)</f>
        <v>2662.6616076125265</v>
      </c>
      <c r="D81">
        <f t="shared" ref="D81" si="235">ABS((B81-C81)/B81)</f>
        <v>0.29079969343248346</v>
      </c>
      <c r="E81">
        <f t="shared" ref="E81" si="236">(B81-C81)^2</f>
        <v>359833.94828748505</v>
      </c>
    </row>
    <row r="82" spans="1:5" x14ac:dyDescent="0.45">
      <c r="A82">
        <v>81</v>
      </c>
      <c r="B82" s="1">
        <v>2218.7999999999997</v>
      </c>
      <c r="C82" s="1">
        <f t="shared" ref="C82" si="237">C81+alpha*(B81-C81)</f>
        <v>2490.3117736251224</v>
      </c>
      <c r="D82">
        <f t="shared" ref="D82" si="238">ABS((B82-C82)/B82)</f>
        <v>0.12236874600014545</v>
      </c>
      <c r="E82">
        <f t="shared" ref="E82" si="239">(B82-C82)^2</f>
        <v>73718.643217059886</v>
      </c>
    </row>
    <row r="83" spans="1:5" x14ac:dyDescent="0.45">
      <c r="A83">
        <v>82</v>
      </c>
      <c r="B83" s="1">
        <v>2696.4</v>
      </c>
      <c r="C83" s="1">
        <f t="shared" ref="C83" si="240">C82+alpha*(B82-C82)</f>
        <v>2412.3020985332932</v>
      </c>
      <c r="D83">
        <f t="shared" ref="D83" si="241">ABS((B83-C83)/B83)</f>
        <v>0.10536192755774619</v>
      </c>
      <c r="E83">
        <f t="shared" ref="E83" si="242">(B83-C83)^2</f>
        <v>80711.617617786673</v>
      </c>
    </row>
    <row r="84" spans="1:5" x14ac:dyDescent="0.45">
      <c r="A84">
        <v>83</v>
      </c>
      <c r="B84" s="1">
        <v>2526</v>
      </c>
      <c r="C84" s="1">
        <f t="shared" ref="C84" si="243">C83+alpha*(B83-C83)</f>
        <v>2493.9279694551487</v>
      </c>
      <c r="D84">
        <f t="shared" ref="D84" si="244">ABS((B84-C84)/B84)</f>
        <v>1.269676585306859E-2</v>
      </c>
      <c r="E84">
        <f t="shared" ref="E84" si="245">(B84-C84)^2</f>
        <v>1028.6151432698721</v>
      </c>
    </row>
    <row r="85" spans="1:5" x14ac:dyDescent="0.45">
      <c r="A85">
        <v>84</v>
      </c>
      <c r="B85" s="1">
        <v>2016</v>
      </c>
      <c r="C85" s="1">
        <f t="shared" ref="C85" si="246">C84+alpha*(B84-C84)</f>
        <v>2503.1427767872001</v>
      </c>
      <c r="D85">
        <f t="shared" ref="D85" si="247">ABS((B85-C85)/B85)</f>
        <v>0.24163828213650798</v>
      </c>
      <c r="E85">
        <f t="shared" ref="E85" si="248">(B85-C85)^2</f>
        <v>237308.08497594384</v>
      </c>
    </row>
    <row r="86" spans="1:5" x14ac:dyDescent="0.45">
      <c r="A86">
        <v>85</v>
      </c>
      <c r="B86" s="1">
        <v>2952</v>
      </c>
      <c r="C86" s="1">
        <f t="shared" ref="C86" si="249">C85+alpha*(B85-C85)</f>
        <v>2363.178865708448</v>
      </c>
      <c r="D86">
        <f t="shared" ref="D86" si="250">ABS((B86-C86)/B86)</f>
        <v>0.19946515389280217</v>
      </c>
      <c r="E86">
        <f t="shared" ref="E86" si="251">(B86-C86)^2</f>
        <v>346710.32818838989</v>
      </c>
    </row>
    <row r="87" spans="1:5" x14ac:dyDescent="0.45">
      <c r="A87">
        <v>86</v>
      </c>
      <c r="B87" s="1">
        <v>2457.6</v>
      </c>
      <c r="C87" s="1">
        <f t="shared" ref="C87" si="252">C86+alpha*(B86-C86)</f>
        <v>2532.3565951306246</v>
      </c>
      <c r="D87">
        <f t="shared" ref="D87" si="253">ABS((B87-C87)/B87)</f>
        <v>3.0418536430104431E-2</v>
      </c>
      <c r="E87">
        <f t="shared" ref="E87" si="254">(B87-C87)^2</f>
        <v>5588.5485155241322</v>
      </c>
    </row>
    <row r="88" spans="1:5" x14ac:dyDescent="0.45">
      <c r="A88">
        <v>87</v>
      </c>
      <c r="B88" s="1">
        <v>2907.6</v>
      </c>
      <c r="C88" s="1">
        <f t="shared" ref="C88" si="255">C87+alpha*(B87-C87)</f>
        <v>2510.8778297008671</v>
      </c>
      <c r="D88">
        <f t="shared" ref="D88" si="256">ABS((B88-C88)/B88)</f>
        <v>0.13644317316657478</v>
      </c>
      <c r="E88">
        <f t="shared" ref="E88" si="257">(B88-C88)^2</f>
        <v>157388.48040685413</v>
      </c>
    </row>
    <row r="89" spans="1:5" x14ac:dyDescent="0.45">
      <c r="A89">
        <v>88</v>
      </c>
      <c r="B89" s="1">
        <v>1694.0000000000002</v>
      </c>
      <c r="C89" s="1">
        <f t="shared" ref="C89" si="258">C88+alpha*(B88-C88)</f>
        <v>2624.8624543584001</v>
      </c>
      <c r="D89">
        <f t="shared" ref="D89" si="259">ABS((B89-C89)/B89)</f>
        <v>0.54950558108524183</v>
      </c>
      <c r="E89">
        <f t="shared" ref="E89" si="260">(B89-C89)^2</f>
        <v>866504.90893414407</v>
      </c>
    </row>
    <row r="90" spans="1:5" x14ac:dyDescent="0.45">
      <c r="A90">
        <v>89</v>
      </c>
      <c r="B90" s="1">
        <v>2560.8000000000002</v>
      </c>
      <c r="C90" s="1">
        <f t="shared" ref="C90" si="261">C89+alpha*(B89-C89)</f>
        <v>2357.4107831099077</v>
      </c>
      <c r="D90">
        <f t="shared" ref="D90" si="262">ABS((B90-C90)/B90)</f>
        <v>7.9424092818686537E-2</v>
      </c>
      <c r="E90">
        <f t="shared" ref="E90" si="263">(B90-C90)^2</f>
        <v>41367.173547165083</v>
      </c>
    </row>
    <row r="91" spans="1:5" x14ac:dyDescent="0.45">
      <c r="A91">
        <v>90</v>
      </c>
      <c r="B91" s="1">
        <v>1687.4</v>
      </c>
      <c r="C91" s="1">
        <f t="shared" ref="C91" si="264">C90+alpha*(B90-C90)</f>
        <v>2415.8477581071111</v>
      </c>
      <c r="D91">
        <f t="shared" ref="D91" si="265">ABS((B91-C91)/B91)</f>
        <v>0.4316983276680757</v>
      </c>
      <c r="E91">
        <f t="shared" ref="E91" si="266">(B91-C91)^2</f>
        <v>530636.13629127608</v>
      </c>
    </row>
    <row r="92" spans="1:5" x14ac:dyDescent="0.45">
      <c r="A92">
        <v>91</v>
      </c>
      <c r="B92" s="1">
        <v>1772.1000000000001</v>
      </c>
      <c r="C92" s="1">
        <f t="shared" ref="C92" si="267">C91+alpha*(B91-C91)</f>
        <v>2206.5530664899184</v>
      </c>
      <c r="D92">
        <f t="shared" ref="D92" si="268">ABS((B92-C92)/B92)</f>
        <v>0.24516283871673053</v>
      </c>
      <c r="E92">
        <f t="shared" ref="E92" si="269">(B92-C92)^2</f>
        <v>188749.46698249332</v>
      </c>
    </row>
    <row r="93" spans="1:5" x14ac:dyDescent="0.45">
      <c r="A93">
        <v>92</v>
      </c>
      <c r="B93" s="1">
        <v>1855</v>
      </c>
      <c r="C93" s="1">
        <f t="shared" ref="C93" si="270">C92+alpha*(B92-C92)</f>
        <v>2081.7277518929845</v>
      </c>
      <c r="D93">
        <f t="shared" ref="D93" si="271">ABS((B93-C93)/B93)</f>
        <v>0.12222520317681107</v>
      </c>
      <c r="E93">
        <f t="shared" ref="E93" si="272">(B93-C93)^2</f>
        <v>51405.473478446758</v>
      </c>
    </row>
    <row r="94" spans="1:5" x14ac:dyDescent="0.45">
      <c r="A94">
        <v>93</v>
      </c>
      <c r="B94" s="1">
        <v>2068</v>
      </c>
      <c r="C94" s="1">
        <f t="shared" ref="C94" si="273">C93+alpha*(B93-C93)</f>
        <v>2016.5852425154978</v>
      </c>
      <c r="D94">
        <f t="shared" ref="D94" si="274">ABS((B94-C94)/B94)</f>
        <v>2.4862068416103559E-2</v>
      </c>
      <c r="E94">
        <f t="shared" ref="E94" si="275">(B94-C94)^2</f>
        <v>2643.477287190171</v>
      </c>
    </row>
    <row r="95" spans="1:5" x14ac:dyDescent="0.45">
      <c r="A95">
        <v>94</v>
      </c>
      <c r="B95" s="1">
        <v>2169.9</v>
      </c>
      <c r="C95" s="1">
        <f t="shared" ref="C95" si="276">C94+alpha*(B94-C94)</f>
        <v>2031.3575246627502</v>
      </c>
      <c r="D95">
        <f t="shared" ref="D95" si="277">ABS((B95-C95)/B95)</f>
        <v>6.3847400957302139E-2</v>
      </c>
      <c r="E95">
        <f t="shared" ref="E95" si="278">(B95-C95)^2</f>
        <v>19194.017472572505</v>
      </c>
    </row>
    <row r="96" spans="1:5" x14ac:dyDescent="0.45">
      <c r="A96">
        <v>95</v>
      </c>
      <c r="B96" s="1">
        <v>1863.9</v>
      </c>
      <c r="C96" s="1">
        <f t="shared" ref="C96" si="279">C95+alpha*(B95-C95)</f>
        <v>2071.1629936601971</v>
      </c>
      <c r="D96">
        <f t="shared" ref="D96" si="280">ABS((B96-C96)/B96)</f>
        <v>0.1111985587532577</v>
      </c>
      <c r="E96">
        <f t="shared" ref="E96" si="281">(B96-C96)^2</f>
        <v>42957.948540986872</v>
      </c>
    </row>
    <row r="97" spans="1:5" x14ac:dyDescent="0.45">
      <c r="A97">
        <v>96</v>
      </c>
      <c r="B97" s="1">
        <v>1507.5</v>
      </c>
      <c r="C97" s="1">
        <f t="shared" ref="C97" si="282">C96+alpha*(B96-C96)</f>
        <v>2011.6130206401845</v>
      </c>
      <c r="D97">
        <f t="shared" ref="D97" si="283">ABS((B97-C97)/B97)</f>
        <v>0.33440333044125004</v>
      </c>
      <c r="E97">
        <f t="shared" ref="E97" si="284">(B97-C97)^2</f>
        <v>254129.93757897103</v>
      </c>
    </row>
    <row r="98" spans="1:5" x14ac:dyDescent="0.45">
      <c r="A98">
        <v>97</v>
      </c>
      <c r="B98" s="1">
        <v>1621.8</v>
      </c>
      <c r="C98" s="1">
        <f t="shared" ref="C98" si="285">C97+alpha*(B97-C97)</f>
        <v>1866.7732870822633</v>
      </c>
      <c r="D98">
        <f t="shared" ref="D98" si="286">ABS((B98-C98)/B98)</f>
        <v>0.15105024484046331</v>
      </c>
      <c r="E98">
        <f t="shared" ref="E98" si="287">(B98-C98)^2</f>
        <v>60011.911383889026</v>
      </c>
    </row>
    <row r="99" spans="1:5" x14ac:dyDescent="0.45">
      <c r="A99">
        <v>98</v>
      </c>
      <c r="B99" s="1">
        <v>1635.3</v>
      </c>
      <c r="C99" s="1">
        <f t="shared" ref="C99" si="288">C98+alpha*(B98-C98)</f>
        <v>1796.3885436278215</v>
      </c>
      <c r="D99">
        <f t="shared" ref="D99" si="289">ABS((B99-C99)/B99)</f>
        <v>9.8507028452162623E-2</v>
      </c>
      <c r="E99">
        <f t="shared" ref="E99" si="290">(B99-C99)^2</f>
        <v>25949.518888132563</v>
      </c>
    </row>
    <row r="100" spans="1:5" x14ac:dyDescent="0.45">
      <c r="A100">
        <v>99</v>
      </c>
      <c r="B100" s="1">
        <v>1503</v>
      </c>
      <c r="C100" s="1">
        <f t="shared" ref="C100" si="291">C99+alpha*(B99-C99)</f>
        <v>1750.1052286111665</v>
      </c>
      <c r="D100">
        <f t="shared" ref="D100" si="292">ABS((B100-C100)/B100)</f>
        <v>0.16440800306797504</v>
      </c>
      <c r="E100">
        <f t="shared" ref="E100" si="293">(B100-C100)^2</f>
        <v>61060.994006976842</v>
      </c>
    </row>
    <row r="101" spans="1:5" x14ac:dyDescent="0.45">
      <c r="A101">
        <v>100</v>
      </c>
      <c r="B101" s="1">
        <v>1799.1000000000001</v>
      </c>
      <c r="C101" s="1">
        <f t="shared" ref="C101" si="294">C100+alpha*(B100-C100)</f>
        <v>1679.1079442574332</v>
      </c>
      <c r="D101">
        <f t="shared" ref="D101" si="295">ABS((B101-C101)/B101)</f>
        <v>6.6695600990810344E-2</v>
      </c>
      <c r="E101">
        <f t="shared" ref="E101" si="296">(B101-C101)^2</f>
        <v>14398.093441327281</v>
      </c>
    </row>
    <row r="102" spans="1:5" x14ac:dyDescent="0.45">
      <c r="A102">
        <v>101</v>
      </c>
      <c r="B102" s="1">
        <v>2171.7000000000003</v>
      </c>
      <c r="C102" s="1">
        <f t="shared" ref="C102" si="297">C101+alpha*(B101-C101)</f>
        <v>1713.5835810119647</v>
      </c>
      <c r="D102">
        <f t="shared" ref="D102" si="298">ABS((B102-C102)/B102)</f>
        <v>0.21094829810196414</v>
      </c>
      <c r="E102">
        <f t="shared" ref="E102" si="299">(B102-C102)^2</f>
        <v>209870.65334642134</v>
      </c>
    </row>
    <row r="103" spans="1:5" x14ac:dyDescent="0.45">
      <c r="A103">
        <v>102</v>
      </c>
      <c r="B103" s="1">
        <v>1475.1000000000001</v>
      </c>
      <c r="C103" s="1">
        <f t="shared" ref="C103" si="300">C102+alpha*(B102-C102)</f>
        <v>1845.2077552506548</v>
      </c>
      <c r="D103">
        <f t="shared" ref="D103" si="301">ABS((B103-C103)/B103)</f>
        <v>0.25090350162745212</v>
      </c>
      <c r="E103">
        <f t="shared" ref="E103" si="302">(B103-C103)^2</f>
        <v>136979.75049667852</v>
      </c>
    </row>
    <row r="104" spans="1:5" x14ac:dyDescent="0.45">
      <c r="A104">
        <v>103</v>
      </c>
      <c r="B104" s="1">
        <v>1984.5</v>
      </c>
      <c r="C104" s="1">
        <f t="shared" ref="C104" si="303">C103+alpha*(B103-C103)</f>
        <v>1738.8698777045656</v>
      </c>
      <c r="D104">
        <f t="shared" ref="D104" si="304">ABS((B104-C104)/B104)</f>
        <v>0.12377431206623048</v>
      </c>
      <c r="E104">
        <f t="shared" ref="E104" si="305">(B104-C104)^2</f>
        <v>60334.156978870051</v>
      </c>
    </row>
    <row r="105" spans="1:5" x14ac:dyDescent="0.45">
      <c r="A105">
        <v>104</v>
      </c>
      <c r="B105" s="1">
        <v>1476</v>
      </c>
      <c r="C105" s="1">
        <f t="shared" ref="C105:C106" si="306">C104+alpha*(B104-C104)</f>
        <v>1809.4433404211013</v>
      </c>
      <c r="D105">
        <f t="shared" ref="D105" si="307">ABS((B105-C105)/B105)</f>
        <v>0.22591012223651849</v>
      </c>
      <c r="E105">
        <f t="shared" ref="E105" si="308">(B105-C105)^2</f>
        <v>111184.46127118246</v>
      </c>
    </row>
    <row r="106" spans="1:5" x14ac:dyDescent="0.45">
      <c r="A106">
        <v>105</v>
      </c>
      <c r="C106" s="1">
        <f t="shared" si="306"/>
        <v>1713.6397356621455</v>
      </c>
    </row>
    <row r="107" spans="1:5" x14ac:dyDescent="0.45">
      <c r="C107" s="1"/>
    </row>
    <row r="108" spans="1:5" x14ac:dyDescent="0.45">
      <c r="C108" s="1"/>
    </row>
    <row r="109" spans="1:5" x14ac:dyDescent="0.45">
      <c r="C109" s="1"/>
    </row>
    <row r="110" spans="1:5" x14ac:dyDescent="0.45">
      <c r="C110" s="1"/>
    </row>
    <row r="111" spans="1:5" x14ac:dyDescent="0.45">
      <c r="C111" s="1"/>
    </row>
    <row r="112" spans="1:5" x14ac:dyDescent="0.45">
      <c r="C112" s="1"/>
    </row>
    <row r="113" spans="3:3" x14ac:dyDescent="0.45">
      <c r="C113" s="1"/>
    </row>
    <row r="114" spans="3:3" x14ac:dyDescent="0.45">
      <c r="C114" s="1"/>
    </row>
    <row r="115" spans="3:3" x14ac:dyDescent="0.45">
      <c r="C115" s="1"/>
    </row>
    <row r="116" spans="3:3" x14ac:dyDescent="0.45">
      <c r="C116" s="1"/>
    </row>
    <row r="117" spans="3:3" x14ac:dyDescent="0.45">
      <c r="C117" s="1"/>
    </row>
    <row r="118" spans="3:3" x14ac:dyDescent="0.45">
      <c r="C118" s="1"/>
    </row>
    <row r="119" spans="3:3" x14ac:dyDescent="0.45">
      <c r="C119" s="1"/>
    </row>
    <row r="120" spans="3:3" x14ac:dyDescent="0.45">
      <c r="C120" s="1"/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0"/>
  <sheetViews>
    <sheetView topLeftCell="A86" workbookViewId="0">
      <selection activeCell="C106" sqref="C106"/>
    </sheetView>
  </sheetViews>
  <sheetFormatPr defaultColWidth="8.796875" defaultRowHeight="14.35" x14ac:dyDescent="0.45"/>
  <cols>
    <col min="2" max="2" width="13.33203125" customWidth="1"/>
    <col min="12" max="12" width="11.1328125" style="2" bestFit="1" customWidth="1"/>
  </cols>
  <sheetData>
    <row r="1" spans="1:12" x14ac:dyDescent="0.45">
      <c r="A1" t="s">
        <v>0</v>
      </c>
      <c r="B1" t="s">
        <v>1</v>
      </c>
      <c r="C1" t="s">
        <v>6</v>
      </c>
      <c r="D1" t="s">
        <v>9</v>
      </c>
      <c r="E1" t="s">
        <v>10</v>
      </c>
      <c r="F1" t="s">
        <v>11</v>
      </c>
      <c r="G1" t="s">
        <v>13</v>
      </c>
      <c r="H1" t="s">
        <v>4</v>
      </c>
      <c r="I1" t="s">
        <v>7</v>
      </c>
      <c r="J1" t="s">
        <v>5</v>
      </c>
      <c r="K1" t="s">
        <v>8</v>
      </c>
      <c r="L1" s="2" t="s">
        <v>12</v>
      </c>
    </row>
    <row r="2" spans="1:12" x14ac:dyDescent="0.45">
      <c r="A2">
        <v>1</v>
      </c>
      <c r="B2" s="1">
        <v>1524.6000000000001</v>
      </c>
      <c r="C2" s="1">
        <f>B2</f>
        <v>1524.6000000000001</v>
      </c>
      <c r="D2" s="1">
        <f t="shared" ref="D2:D3" si="0">B2-C2</f>
        <v>0</v>
      </c>
      <c r="E2">
        <v>0</v>
      </c>
      <c r="F2" s="1">
        <v>0</v>
      </c>
      <c r="G2">
        <f>IF(F2=0,0,ABS(E2/F2))</f>
        <v>0</v>
      </c>
      <c r="H2">
        <f t="shared" ref="H2:H3" si="1">ABS((B2-C2)/B2)</f>
        <v>0</v>
      </c>
      <c r="I2">
        <f t="shared" ref="I2:I3" si="2">(B2-C2)^2</f>
        <v>0</v>
      </c>
      <c r="J2">
        <f>AVERAGE(H:H)</f>
        <v>0.14864782681319699</v>
      </c>
      <c r="K2">
        <f>SUM(I:I)</f>
        <v>14686256.62314113</v>
      </c>
      <c r="L2" s="2">
        <v>0.14752639881951385</v>
      </c>
    </row>
    <row r="3" spans="1:12" x14ac:dyDescent="0.45">
      <c r="A3">
        <v>2</v>
      </c>
      <c r="B3" s="1">
        <v>1960.2</v>
      </c>
      <c r="C3" s="1">
        <f t="shared" ref="C3" si="3">C2+G2*(B2-C2)</f>
        <v>1524.6000000000001</v>
      </c>
      <c r="D3" s="1">
        <f t="shared" si="0"/>
        <v>435.59999999999991</v>
      </c>
      <c r="E3">
        <f t="shared" ref="E3" si="4">gamma*(D2-E2)+E2</f>
        <v>0</v>
      </c>
      <c r="F3">
        <f t="shared" ref="F3" si="5">gamma*(ABS(D2)-F2)+F2</f>
        <v>0</v>
      </c>
      <c r="G3">
        <f t="shared" ref="G3" si="6">IF(F3=0,0,ABS(E3/F3))</f>
        <v>0</v>
      </c>
      <c r="H3">
        <f t="shared" si="1"/>
        <v>0.22222222222222218</v>
      </c>
      <c r="I3">
        <f t="shared" si="2"/>
        <v>189747.35999999993</v>
      </c>
    </row>
    <row r="4" spans="1:12" x14ac:dyDescent="0.45">
      <c r="A4">
        <v>3</v>
      </c>
      <c r="B4" s="1">
        <v>2061.9</v>
      </c>
      <c r="C4" s="1">
        <f t="shared" ref="C4" si="7">C3+G3*(B3-C3)</f>
        <v>1524.6000000000001</v>
      </c>
      <c r="D4" s="1">
        <f t="shared" ref="D4" si="8">B4-C4</f>
        <v>537.29999999999995</v>
      </c>
      <c r="E4">
        <f t="shared" ref="E4" si="9">gamma*(D3-E3)+E3</f>
        <v>64.262499325780226</v>
      </c>
      <c r="F4">
        <f t="shared" ref="F4" si="10">gamma*(ABS(D3)-F3)+F3</f>
        <v>64.262499325780226</v>
      </c>
      <c r="G4">
        <f t="shared" ref="G4" si="11">IF(F4=0,0,ABS(E4/F4))</f>
        <v>1</v>
      </c>
      <c r="H4">
        <f t="shared" ref="H4" si="12">ABS((B4-C4)/B4)</f>
        <v>0.26058489742470531</v>
      </c>
      <c r="I4">
        <f t="shared" ref="I4" si="13">(B4-C4)^2</f>
        <v>288691.28999999998</v>
      </c>
    </row>
    <row r="5" spans="1:12" x14ac:dyDescent="0.45">
      <c r="A5">
        <v>4</v>
      </c>
      <c r="B5" s="1">
        <v>2214</v>
      </c>
      <c r="C5" s="1">
        <f t="shared" ref="C5" si="14">C4+G4*(B4-C4)</f>
        <v>2061.9</v>
      </c>
      <c r="D5" s="1">
        <f t="shared" ref="D5" si="15">B5-C5</f>
        <v>152.09999999999991</v>
      </c>
      <c r="E5">
        <f t="shared" ref="E5" si="16">gamma*(D4-E4)+E4</f>
        <v>134.04801830683121</v>
      </c>
      <c r="F5">
        <f t="shared" ref="F5" si="17">gamma*(ABS(D4)-F4)+F4</f>
        <v>134.04801830683121</v>
      </c>
      <c r="G5">
        <f t="shared" ref="G5" si="18">IF(F5=0,0,ABS(E5/F5))</f>
        <v>1</v>
      </c>
      <c r="H5">
        <f t="shared" ref="H5" si="19">ABS((B5-C5)/B5)</f>
        <v>6.8699186991869873E-2</v>
      </c>
      <c r="I5">
        <f t="shared" ref="I5" si="20">(B5-C5)^2</f>
        <v>23134.409999999971</v>
      </c>
    </row>
    <row r="6" spans="1:12" x14ac:dyDescent="0.45">
      <c r="A6">
        <v>5</v>
      </c>
      <c r="B6" s="1">
        <v>1621.8</v>
      </c>
      <c r="C6" s="1">
        <f t="shared" ref="C6" si="21">C5+G5*(B5-C5)</f>
        <v>2214</v>
      </c>
      <c r="D6" s="1">
        <f t="shared" ref="D6" si="22">B6-C6</f>
        <v>-592.20000000000005</v>
      </c>
      <c r="E6">
        <f t="shared" ref="E6" si="23">gamma*(D5-E5)+E5</f>
        <v>136.71116215758019</v>
      </c>
      <c r="F6">
        <f t="shared" ref="F6" si="24">gamma*(ABS(D5)-F5)+F5</f>
        <v>136.71116215758019</v>
      </c>
      <c r="G6">
        <f t="shared" ref="G6" si="25">IF(F6=0,0,ABS(E6/F6))</f>
        <v>1</v>
      </c>
      <c r="H6">
        <f t="shared" ref="H6" si="26">ABS((B6-C6)/B6)</f>
        <v>0.36514983351831304</v>
      </c>
      <c r="I6">
        <f t="shared" ref="I6" si="27">(B6-C6)^2</f>
        <v>350700.84</v>
      </c>
    </row>
    <row r="7" spans="1:12" x14ac:dyDescent="0.45">
      <c r="A7">
        <v>6</v>
      </c>
      <c r="B7" s="1">
        <v>1926.9</v>
      </c>
      <c r="C7" s="1">
        <f t="shared" ref="C7" si="28">C6+G6*(B6-C6)</f>
        <v>1621.8</v>
      </c>
      <c r="D7" s="1">
        <f t="shared" ref="D7" si="29">B7-C7</f>
        <v>305.10000000000014</v>
      </c>
      <c r="E7">
        <f t="shared" ref="E7" si="30">gamma*(D6-E6)+E6</f>
        <v>29.177523345125664</v>
      </c>
      <c r="F7">
        <f t="shared" ref="F7" si="31">gamma*(ABS(D6)-F6)+F6</f>
        <v>203.90779010695789</v>
      </c>
      <c r="G7">
        <f t="shared" ref="G7" si="32">IF(F7=0,0,ABS(E7/F7))</f>
        <v>0.14309175402185895</v>
      </c>
      <c r="H7">
        <f t="shared" ref="H7" si="33">ABS((B7-C7)/B7)</f>
        <v>0.15833722559551619</v>
      </c>
      <c r="I7">
        <f t="shared" ref="I7" si="34">(B7-C7)^2</f>
        <v>93086.010000000082</v>
      </c>
    </row>
    <row r="8" spans="1:12" x14ac:dyDescent="0.45">
      <c r="A8">
        <v>7</v>
      </c>
      <c r="B8" s="1">
        <v>1952.1000000000001</v>
      </c>
      <c r="C8" s="1">
        <f t="shared" ref="C8" si="35">C7+G7*(B7-C7)</f>
        <v>1665.4572941520692</v>
      </c>
      <c r="D8" s="1">
        <f t="shared" ref="D8" si="36">B8-C8</f>
        <v>286.64270584793098</v>
      </c>
      <c r="E8">
        <f t="shared" ref="E8" si="37">gamma*(D7-E7)+E7</f>
        <v>69.88337267938067</v>
      </c>
      <c r="F8">
        <f t="shared" ref="F8" si="38">gamma*(ABS(D7)-F7)+F7</f>
        <v>218.83631242106679</v>
      </c>
      <c r="G8">
        <f t="shared" ref="G8" si="39">IF(F8=0,0,ABS(E8/F8))</f>
        <v>0.31934084387657219</v>
      </c>
      <c r="H8">
        <f t="shared" ref="H8" si="40">ABS((B8-C8)/B8)</f>
        <v>0.14683812604268787</v>
      </c>
      <c r="I8">
        <f t="shared" ref="I8" si="41">(B8-C8)^2</f>
        <v>82164.040815823493</v>
      </c>
    </row>
    <row r="9" spans="1:12" x14ac:dyDescent="0.45">
      <c r="A9">
        <v>8</v>
      </c>
      <c r="B9" s="1">
        <v>2214.9</v>
      </c>
      <c r="C9" s="1">
        <f t="shared" ref="C9" si="42">C8+G8*(B8-C8)</f>
        <v>1756.9940177286114</v>
      </c>
      <c r="D9" s="1">
        <f t="shared" ref="D9" si="43">B9-C9</f>
        <v>457.90598227138867</v>
      </c>
      <c r="E9">
        <f t="shared" ref="E9" si="44">gamma*(D8-E8)+E8</f>
        <v>101.8610965122561</v>
      </c>
      <c r="F9">
        <f t="shared" ref="F9" si="45">gamma*(ABS(D8)-F8)+F8</f>
        <v>228.83954546027121</v>
      </c>
      <c r="G9">
        <f t="shared" ref="G9" si="46">IF(F9=0,0,ABS(E9/F9))</f>
        <v>0.44512016621681405</v>
      </c>
      <c r="H9">
        <f t="shared" ref="H9" si="47">ABS((B9-C9)/B9)</f>
        <v>0.20673889668670759</v>
      </c>
      <c r="I9">
        <f t="shared" ref="I9" si="48">(B9-C9)^2</f>
        <v>209677.88859992533</v>
      </c>
    </row>
    <row r="10" spans="1:12" x14ac:dyDescent="0.45">
      <c r="A10">
        <v>9</v>
      </c>
      <c r="B10" s="1">
        <v>2009.7</v>
      </c>
      <c r="C10" s="1">
        <f t="shared" ref="C10" si="49">C9+G9*(B9-C9)</f>
        <v>1960.8172046689256</v>
      </c>
      <c r="D10" s="1">
        <f t="shared" ref="D10" si="50">B10-C10</f>
        <v>48.882795331074476</v>
      </c>
      <c r="E10">
        <f t="shared" ref="E10" si="51">gamma*(D9-E9)+E9</f>
        <v>154.38711632640613</v>
      </c>
      <c r="F10">
        <f t="shared" ref="F10" si="52">gamma*(ABS(D9)-F9)+F9</f>
        <v>262.63289197343306</v>
      </c>
      <c r="G10">
        <f t="shared" ref="G10" si="53">IF(F10=0,0,ABS(E10/F10))</f>
        <v>0.58784379658745611</v>
      </c>
      <c r="H10">
        <f t="shared" ref="H10" si="54">ABS((B10-C10)/B10)</f>
        <v>2.432342903471885E-2</v>
      </c>
      <c r="I10">
        <f t="shared" ref="I10" si="55">(B10-C10)^2</f>
        <v>2389.5276793797166</v>
      </c>
    </row>
    <row r="11" spans="1:12" x14ac:dyDescent="0.45">
      <c r="A11">
        <v>10</v>
      </c>
      <c r="B11" s="1">
        <v>2068.2000000000003</v>
      </c>
      <c r="C11" s="1">
        <f t="shared" ref="C11" si="56">C10+G10*(B10-C10)</f>
        <v>1989.552652664152</v>
      </c>
      <c r="D11" s="1">
        <f t="shared" ref="D11" si="57">B11-C11</f>
        <v>78.647347335848281</v>
      </c>
      <c r="E11">
        <f t="shared" ref="E11" si="58">gamma*(D10-E10)+E10</f>
        <v>138.82244379006681</v>
      </c>
      <c r="F11">
        <f t="shared" ref="F11" si="59">gamma*(ABS(D10)-F10)+F10</f>
        <v>231.09910996846284</v>
      </c>
      <c r="G11">
        <f t="shared" ref="G11" si="60">IF(F11=0,0,ABS(E11/F11))</f>
        <v>0.60070522906389101</v>
      </c>
      <c r="H11">
        <f t="shared" ref="H11" si="61">ABS((B11-C11)/B11)</f>
        <v>3.8026954518831965E-2</v>
      </c>
      <c r="I11">
        <f t="shared" ref="I11" si="62">(B11-C11)^2</f>
        <v>6185.4052429655612</v>
      </c>
    </row>
    <row r="12" spans="1:12" x14ac:dyDescent="0.45">
      <c r="A12">
        <v>11</v>
      </c>
      <c r="B12" s="1">
        <v>1865.7</v>
      </c>
      <c r="C12" s="1">
        <f t="shared" ref="C12" si="63">C11+G11*(B11-C11)</f>
        <v>2036.7965254608002</v>
      </c>
      <c r="D12" s="1">
        <f t="shared" ref="D12" si="64">B12-C12</f>
        <v>-171.09652546080019</v>
      </c>
      <c r="E12">
        <f t="shared" ref="E12" si="65">gamma*(D11-E11)+E11</f>
        <v>129.94502851155906</v>
      </c>
      <c r="F12">
        <f t="shared" ref="F12" si="66">gamma*(ABS(D11)-F11)+F11</f>
        <v>208.60845043358589</v>
      </c>
      <c r="G12">
        <f t="shared" ref="G12" si="67">IF(F12=0,0,ABS(E12/F12))</f>
        <v>0.62291354085355866</v>
      </c>
      <c r="H12">
        <f t="shared" ref="H12" si="68">ABS((B12-C12)/B12)</f>
        <v>9.1706343710564506E-2</v>
      </c>
      <c r="I12">
        <f t="shared" ref="I12" si="69">(B12-C12)^2</f>
        <v>29274.021024758251</v>
      </c>
    </row>
    <row r="13" spans="1:12" x14ac:dyDescent="0.45">
      <c r="A13">
        <v>12</v>
      </c>
      <c r="B13" s="1">
        <v>1445.4</v>
      </c>
      <c r="C13" s="1">
        <f t="shared" ref="C13" si="70">C12+G12*(B12-C12)</f>
        <v>1930.2181829582721</v>
      </c>
      <c r="D13" s="1">
        <f t="shared" ref="D13" si="71">B13-C13</f>
        <v>-484.81818295827202</v>
      </c>
      <c r="E13">
        <f t="shared" ref="E13" si="72">gamma*(D12-E12)+E12</f>
        <v>85.533452158986591</v>
      </c>
      <c r="F13">
        <f t="shared" ref="F13" si="73">gamma*(ABS(D12)-F12)+F12</f>
        <v>203.07445122956301</v>
      </c>
      <c r="G13">
        <f t="shared" ref="G13" si="74">IF(F13=0,0,ABS(E13/F13))</f>
        <v>0.42119258055902048</v>
      </c>
      <c r="H13">
        <f t="shared" ref="H13" si="75">ABS((B13-C13)/B13)</f>
        <v>0.3354214632338951</v>
      </c>
      <c r="I13">
        <f t="shared" ref="I13" si="76">(B13-C13)^2</f>
        <v>235048.67052696052</v>
      </c>
    </row>
    <row r="14" spans="1:12" x14ac:dyDescent="0.45">
      <c r="A14">
        <v>13</v>
      </c>
      <c r="B14" s="1">
        <v>1723.5</v>
      </c>
      <c r="C14" s="1">
        <f t="shared" ref="C14" si="77">C13+G13*(B13-C13)</f>
        <v>1726.0163613761422</v>
      </c>
      <c r="D14" s="1">
        <f t="shared" ref="D14" si="78">B14-C14</f>
        <v>-2.5163613761421857</v>
      </c>
      <c r="E14">
        <f t="shared" ref="E14" si="79">gamma*(D13-E13)+E13</f>
        <v>1.3915293693160464</v>
      </c>
      <c r="F14">
        <f t="shared" ref="F14" si="80">gamma*(ABS(D13)-F13)+F13</f>
        <v>244.63908936147067</v>
      </c>
      <c r="G14">
        <f t="shared" ref="G14" si="81">IF(F14=0,0,ABS(E14/F14))</f>
        <v>5.6880908645795701E-3</v>
      </c>
      <c r="H14">
        <f t="shared" ref="H14" si="82">ABS((B14-C14)/B14)</f>
        <v>1.4600298091918687E-3</v>
      </c>
      <c r="I14">
        <f t="shared" ref="I14" si="83">(B14-C14)^2</f>
        <v>6.3320745753401946</v>
      </c>
    </row>
    <row r="15" spans="1:12" x14ac:dyDescent="0.45">
      <c r="A15">
        <v>14</v>
      </c>
      <c r="B15" s="1">
        <v>2421.1000000000004</v>
      </c>
      <c r="C15" s="1">
        <f t="shared" ref="C15" si="84">C14+G14*(B14-C14)</f>
        <v>1726.0020480839867</v>
      </c>
      <c r="D15" s="1">
        <f t="shared" ref="D15" si="85">B15-C15</f>
        <v>695.0979519160137</v>
      </c>
      <c r="E15">
        <f t="shared" ref="E15" si="86">gamma*(D14-E14)+E14</f>
        <v>0.81501232065848794</v>
      </c>
      <c r="F15">
        <f t="shared" ref="F15" si="87">gamma*(ABS(D14)-F14)+F14</f>
        <v>208.91959522943841</v>
      </c>
      <c r="G15">
        <f t="shared" ref="G15" si="88">IF(F15=0,0,ABS(E15/F15))</f>
        <v>3.901081273699722E-3</v>
      </c>
      <c r="H15">
        <f t="shared" ref="H15" si="89">ABS((B15-C15)/B15)</f>
        <v>0.28710005861633703</v>
      </c>
      <c r="I15">
        <f t="shared" ref="I15" si="90">(B15-C15)^2</f>
        <v>483161.16275783686</v>
      </c>
    </row>
    <row r="16" spans="1:12" x14ac:dyDescent="0.45">
      <c r="A16">
        <v>15</v>
      </c>
      <c r="B16" s="1">
        <v>1797.4</v>
      </c>
      <c r="C16" s="1">
        <f t="shared" ref="C16" si="91">C15+G15*(B15-C15)</f>
        <v>1728.7136816875932</v>
      </c>
      <c r="D16" s="1">
        <f t="shared" ref="D16" si="92">B16-C16</f>
        <v>68.686318312406911</v>
      </c>
      <c r="E16">
        <f t="shared" ref="E16" si="93">gamma*(D15-E15)+E15</f>
        <v>103.24007416098729</v>
      </c>
      <c r="F16">
        <f t="shared" ref="F16" si="94">gamma*(ABS(D15)-F15)+F15</f>
        <v>280.64373737539796</v>
      </c>
      <c r="G16">
        <f t="shared" ref="G16" si="95">IF(F16=0,0,ABS(E16/F16))</f>
        <v>0.3678687973816786</v>
      </c>
      <c r="H16">
        <f t="shared" ref="H16" si="96">ABS((B16-C16)/B16)</f>
        <v>3.8214264110608048E-2</v>
      </c>
      <c r="I16">
        <f t="shared" ref="I16" si="97">(B16-C16)^2</f>
        <v>4717.8103233132852</v>
      </c>
    </row>
    <row r="17" spans="1:9" x14ac:dyDescent="0.45">
      <c r="A17">
        <v>16</v>
      </c>
      <c r="B17" s="1">
        <v>2289.1000000000004</v>
      </c>
      <c r="C17" s="1">
        <f t="shared" ref="C17" si="98">C16+G16*(B16-C16)</f>
        <v>1753.9812350017535</v>
      </c>
      <c r="D17" s="1">
        <f t="shared" ref="D17" si="99">B17-C17</f>
        <v>535.11876499824689</v>
      </c>
      <c r="E17">
        <f t="shared" ref="E17" si="100">gamma*(D16-E16)+E16</f>
        <v>98.142482994957518</v>
      </c>
      <c r="F17">
        <f t="shared" ref="F17" si="101">gamma*(ABS(D16)-F16)+F16</f>
        <v>249.37442263795631</v>
      </c>
      <c r="G17">
        <f t="shared" ref="G17" si="102">IF(F17=0,0,ABS(E17/F17))</f>
        <v>0.3935547276933109</v>
      </c>
      <c r="H17">
        <f t="shared" ref="H17" si="103">ABS((B17-C17)/B17)</f>
        <v>0.23376819055447415</v>
      </c>
      <c r="I17">
        <f t="shared" ref="I17" si="104">(B17-C17)^2</f>
        <v>286352.09265324898</v>
      </c>
    </row>
    <row r="18" spans="1:9" x14ac:dyDescent="0.45">
      <c r="A18">
        <v>17</v>
      </c>
      <c r="B18" s="1">
        <v>2072.4</v>
      </c>
      <c r="C18" s="1">
        <f t="shared" ref="C18" si="105">C17+G17*(B17-C17)</f>
        <v>1964.5797548442195</v>
      </c>
      <c r="D18" s="1">
        <f t="shared" ref="D18" si="106">B18-C18</f>
        <v>107.82024515578064</v>
      </c>
      <c r="E18">
        <f t="shared" ref="E18" si="107">gamma*(D17-E17)+E17</f>
        <v>162.60802024844315</v>
      </c>
      <c r="F18">
        <f t="shared" ref="F18" si="108">gamma*(ABS(D17)-F17)+F17</f>
        <v>291.52925644942025</v>
      </c>
      <c r="G18">
        <f t="shared" ref="G18" si="109">IF(F18=0,0,ABS(E18/F18))</f>
        <v>0.55777599212124129</v>
      </c>
      <c r="H18">
        <f t="shared" ref="H18" si="110">ABS((B18-C18)/B18)</f>
        <v>5.2026754080187532E-2</v>
      </c>
      <c r="I18">
        <f t="shared" ref="I18" si="111">(B18-C18)^2</f>
        <v>11625.205265452638</v>
      </c>
    </row>
    <row r="19" spans="1:9" x14ac:dyDescent="0.45">
      <c r="A19">
        <v>18</v>
      </c>
      <c r="B19" s="1">
        <v>2653.2000000000003</v>
      </c>
      <c r="C19" s="1">
        <f t="shared" ref="C19" si="112">C18+G18*(B18-C18)</f>
        <v>2024.7192990567405</v>
      </c>
      <c r="D19" s="1">
        <f t="shared" ref="D19" si="113">B19-C19</f>
        <v>628.48070094325976</v>
      </c>
      <c r="E19">
        <f t="shared" ref="E19" si="114">gamma*(D18-E18)+E18</f>
        <v>154.52537708968919</v>
      </c>
      <c r="F19">
        <f t="shared" ref="F19" si="115">gamma*(ABS(D18)-F18)+F18</f>
        <v>264.4273275825762</v>
      </c>
      <c r="G19">
        <f t="shared" ref="G19" si="116">IF(F19=0,0,ABS(E19/F19))</f>
        <v>0.58437748663263067</v>
      </c>
      <c r="H19">
        <f t="shared" ref="H19" si="117">ABS((B19-C19)/B19)</f>
        <v>0.23687648912379755</v>
      </c>
      <c r="I19">
        <f t="shared" ref="I19" si="118">(B19-C19)^2</f>
        <v>394987.99145813112</v>
      </c>
    </row>
    <row r="20" spans="1:9" x14ac:dyDescent="0.45">
      <c r="A20">
        <v>19</v>
      </c>
      <c r="B20" s="1">
        <v>2557.5</v>
      </c>
      <c r="C20" s="1">
        <f t="shared" ref="C20" si="119">C19+G19*(B19-C19)</f>
        <v>2391.9892714710768</v>
      </c>
      <c r="D20" s="1">
        <f t="shared" ref="D20" si="120">B20-C20</f>
        <v>165.51072852892321</v>
      </c>
      <c r="E20">
        <f t="shared" ref="E20" si="121">gamma*(D19-E19)+E19</f>
        <v>224.44629921914287</v>
      </c>
      <c r="F20">
        <f t="shared" ref="F20" si="122">gamma*(ABS(D19)-F19)+F19</f>
        <v>318.13481073257378</v>
      </c>
      <c r="G20">
        <f t="shared" ref="G20" si="123">IF(F20=0,0,ABS(E20/F20))</f>
        <v>0.70550688465153188</v>
      </c>
      <c r="H20">
        <f t="shared" ref="H20" si="124">ABS((B20-C20)/B20)</f>
        <v>6.471582738178816E-2</v>
      </c>
      <c r="I20">
        <f t="shared" ref="I20" si="125">(B20-C20)^2</f>
        <v>27393.801258174914</v>
      </c>
    </row>
    <row r="21" spans="1:9" x14ac:dyDescent="0.45">
      <c r="A21">
        <v>20</v>
      </c>
      <c r="B21" s="1">
        <v>1712.7</v>
      </c>
      <c r="C21" s="1">
        <f t="shared" ref="C21" si="126">C20+G20*(B20-C20)</f>
        <v>2508.7582299319229</v>
      </c>
      <c r="D21" s="1">
        <f t="shared" ref="D21" si="127">B21-C21</f>
        <v>-796.05822993192282</v>
      </c>
      <c r="E21">
        <f t="shared" ref="E21" si="128">gamma*(D20-E20)+E20</f>
        <v>215.75174671284188</v>
      </c>
      <c r="F21">
        <f t="shared" ref="F21" si="129">gamma*(ABS(D20)-F20)+F20</f>
        <v>295.61872951193578</v>
      </c>
      <c r="G21">
        <f t="shared" ref="G21" si="130">IF(F21=0,0,ABS(E21/F21))</f>
        <v>0.72983111411461088</v>
      </c>
      <c r="H21">
        <f t="shared" ref="H21" si="131">ABS((B21-C21)/B21)</f>
        <v>0.46479723823899272</v>
      </c>
      <c r="I21">
        <f t="shared" ref="I21" si="132">(B21-C21)^2</f>
        <v>633708.70544234605</v>
      </c>
    </row>
    <row r="22" spans="1:9" x14ac:dyDescent="0.45">
      <c r="A22">
        <v>21</v>
      </c>
      <c r="B22" s="1">
        <v>2206.7999999999997</v>
      </c>
      <c r="C22" s="1">
        <f t="shared" ref="C22" si="133">C21+G21*(B21-C21)</f>
        <v>1927.7701650806025</v>
      </c>
      <c r="D22" s="1">
        <f t="shared" ref="D22" si="134">B22-C22</f>
        <v>279.02983491939722</v>
      </c>
      <c r="E22">
        <f t="shared" ref="E22" si="135">gamma*(D21-E21)+E21</f>
        <v>66.483064568783334</v>
      </c>
      <c r="F22">
        <f t="shared" ref="F22" si="136">gamma*(ABS(D21)-F21)+F21</f>
        <v>369.44676683593309</v>
      </c>
      <c r="G22">
        <f t="shared" ref="G22" si="137">IF(F22=0,0,ABS(E22/F22))</f>
        <v>0.17995302851928238</v>
      </c>
      <c r="H22">
        <f t="shared" ref="H22" si="138">ABS((B22-C22)/B22)</f>
        <v>0.12644092573835294</v>
      </c>
      <c r="I22">
        <f t="shared" ref="I22" si="139">(B22-C22)^2</f>
        <v>77857.648775146066</v>
      </c>
    </row>
    <row r="23" spans="1:9" x14ac:dyDescent="0.45">
      <c r="A23">
        <v>22</v>
      </c>
      <c r="B23" s="1">
        <v>2140.7999999999997</v>
      </c>
      <c r="C23" s="1">
        <f t="shared" ref="C23" si="140">C22+G22*(B22-C22)</f>
        <v>1977.9824289215835</v>
      </c>
      <c r="D23" s="1">
        <f t="shared" ref="D23" si="141">B23-C23</f>
        <v>162.81757107841622</v>
      </c>
      <c r="E23">
        <f t="shared" ref="E23" si="142">gamma*(D22-E22)+E22</f>
        <v>97.839324179327619</v>
      </c>
      <c r="F23">
        <f t="shared" ref="F23" si="143">gamma*(ABS(D22)-F22)+F22</f>
        <v>356.1078824779774</v>
      </c>
      <c r="G23">
        <f t="shared" ref="G23" si="144">IF(F23=0,0,ABS(E23/F23))</f>
        <v>0.27474630299816027</v>
      </c>
      <c r="H23">
        <f t="shared" ref="H23" si="145">ABS((B23-C23)/B23)</f>
        <v>7.605454553363987E-2</v>
      </c>
      <c r="I23">
        <f t="shared" ref="I23" si="146">(B23-C23)^2</f>
        <v>26509.561451875117</v>
      </c>
    </row>
    <row r="24" spans="1:9" x14ac:dyDescent="0.45">
      <c r="A24">
        <v>23</v>
      </c>
      <c r="B24" s="1">
        <v>2546.4</v>
      </c>
      <c r="C24" s="1">
        <f t="shared" ref="C24" si="147">C23+G23*(B23-C23)</f>
        <v>2022.7159546385185</v>
      </c>
      <c r="D24" s="1">
        <f t="shared" ref="D24" si="148">B24-C24</f>
        <v>523.68404536148159</v>
      </c>
      <c r="E24">
        <f t="shared" ref="E24" si="149">gamma*(D23-E23)+E23</f>
        <v>107.42533094595541</v>
      </c>
      <c r="F24">
        <f t="shared" ref="F24" si="150">gamma*(ABS(D23)-F23)+F23</f>
        <v>327.59245891049773</v>
      </c>
      <c r="G24">
        <f t="shared" ref="G24" si="151">IF(F24=0,0,ABS(E24/F24))</f>
        <v>0.32792369916947728</v>
      </c>
      <c r="H24">
        <f t="shared" ref="H24" si="152">ABS((B24-C24)/B24)</f>
        <v>0.20565663107189819</v>
      </c>
      <c r="I24">
        <f t="shared" ref="I24" si="153">(B24-C24)^2</f>
        <v>274244.97936616628</v>
      </c>
    </row>
    <row r="25" spans="1:9" x14ac:dyDescent="0.45">
      <c r="A25">
        <v>24</v>
      </c>
      <c r="B25" s="1">
        <v>2322</v>
      </c>
      <c r="C25" s="1">
        <f t="shared" ref="C25" si="154">C24+G24*(B24-C24)</f>
        <v>2194.4443639894916</v>
      </c>
      <c r="D25" s="1">
        <f t="shared" ref="D25" si="155">B25-C25</f>
        <v>127.55563601050835</v>
      </c>
      <c r="E25">
        <f t="shared" ref="E25" si="156">gamma*(D24-E24)+E24</f>
        <v>168.83448006091845</v>
      </c>
      <c r="F25">
        <f t="shared" ref="F25" si="157">gamma*(ABS(D24)-F24)+F24</f>
        <v>356.52114449841673</v>
      </c>
      <c r="G25">
        <f t="shared" ref="G25" si="158">IF(F25=0,0,ABS(E25/F25))</f>
        <v>0.47356091683832297</v>
      </c>
      <c r="H25">
        <f t="shared" ref="H25" si="159">ABS((B25-C25)/B25)</f>
        <v>5.493352110702341E-2</v>
      </c>
      <c r="I25">
        <f t="shared" ref="I25" si="160">(B25-C25)^2</f>
        <v>16270.440278045295</v>
      </c>
    </row>
    <row r="26" spans="1:9" x14ac:dyDescent="0.45">
      <c r="A26">
        <v>25</v>
      </c>
      <c r="B26" s="1">
        <v>2295.6</v>
      </c>
      <c r="C26" s="1">
        <f t="shared" ref="C26" si="161">C25+G25*(B25-C25)</f>
        <v>2254.8497279265234</v>
      </c>
      <c r="D26" s="1">
        <f t="shared" ref="D26" si="162">B26-C26</f>
        <v>40.750272073476481</v>
      </c>
      <c r="E26">
        <f t="shared" ref="E26" si="163">gamma*(D25-E25)+E25</f>
        <v>162.74476085072914</v>
      </c>
      <c r="F26">
        <f t="shared" ref="F26" si="164">gamma*(ABS(D25)-F25)+F25</f>
        <v>322.74268757731676</v>
      </c>
      <c r="G26">
        <f t="shared" ref="G26" si="165">IF(F26=0,0,ABS(E26/F26))</f>
        <v>0.50425545524324777</v>
      </c>
      <c r="H26">
        <f t="shared" ref="H26" si="166">ABS((B26-C26)/B26)</f>
        <v>1.7751468929027917E-2</v>
      </c>
      <c r="I26">
        <f t="shared" ref="I26" si="167">(B26-C26)^2</f>
        <v>1660.5846740623572</v>
      </c>
    </row>
    <row r="27" spans="1:9" x14ac:dyDescent="0.45">
      <c r="A27">
        <v>26</v>
      </c>
      <c r="B27" s="1">
        <v>2632.7999999999997</v>
      </c>
      <c r="C27" s="1">
        <f t="shared" ref="C27" si="168">C26+G26*(B26-C26)</f>
        <v>2275.3982749222205</v>
      </c>
      <c r="D27" s="1">
        <f t="shared" ref="D27" si="169">B27-C27</f>
        <v>357.40172507777925</v>
      </c>
      <c r="E27">
        <f t="shared" ref="E27" si="170">gamma*(D26-E26)+E26</f>
        <v>144.74735324559344</v>
      </c>
      <c r="F27">
        <f t="shared" ref="F27" si="171">gamma*(ABS(D26)-F26)+F26</f>
        <v>281.14136202361914</v>
      </c>
      <c r="G27">
        <f t="shared" ref="G27" si="172">IF(F27=0,0,ABS(E27/F27))</f>
        <v>0.51485612861700869</v>
      </c>
      <c r="H27">
        <f t="shared" ref="H27" si="173">ABS((B27-C27)/B27)</f>
        <v>0.13574966768375088</v>
      </c>
      <c r="I27">
        <f t="shared" ref="I27" si="174">(B27-C27)^2</f>
        <v>127735.9930885725</v>
      </c>
    </row>
    <row r="28" spans="1:9" x14ac:dyDescent="0.45">
      <c r="A28">
        <v>27</v>
      </c>
      <c r="B28" s="1">
        <v>2574</v>
      </c>
      <c r="C28" s="1">
        <f t="shared" ref="C28" si="175">C27+G27*(B27-C27)</f>
        <v>2459.4087434568064</v>
      </c>
      <c r="D28" s="1">
        <f t="shared" ref="D28" si="176">B28-C28</f>
        <v>114.59125654319359</v>
      </c>
      <c r="E28">
        <f t="shared" ref="E28" si="177">gamma*(D27-E27)+E27</f>
        <v>176.11948691522167</v>
      </c>
      <c r="F28">
        <f t="shared" ref="F28" si="178">gamma*(ABS(D27)-F27)+F27</f>
        <v>292.39177875766808</v>
      </c>
      <c r="G28">
        <f t="shared" ref="G28" si="179">IF(F28=0,0,ABS(E28/F28))</f>
        <v>0.6023407623276168</v>
      </c>
      <c r="H28">
        <f t="shared" ref="H28" si="180">ABS((B28-C28)/B28)</f>
        <v>4.4518747685778397E-2</v>
      </c>
      <c r="I28">
        <f t="shared" ref="I28" si="181">(B28-C28)^2</f>
        <v>13131.156076148009</v>
      </c>
    </row>
    <row r="29" spans="1:9" x14ac:dyDescent="0.45">
      <c r="A29">
        <v>28</v>
      </c>
      <c r="B29" s="1">
        <v>2646</v>
      </c>
      <c r="C29" s="1">
        <f t="shared" ref="C29" si="182">C28+G28*(B28-C28)</f>
        <v>2528.431728279113</v>
      </c>
      <c r="D29" s="1">
        <f t="shared" ref="D29" si="183">B29-C29</f>
        <v>117.56827172088697</v>
      </c>
      <c r="E29">
        <f t="shared" ref="E29" si="184">gamma*(D28-E28)+E28</f>
        <v>167.04244866269894</v>
      </c>
      <c r="F29">
        <f t="shared" ref="F29" si="185">gamma*(ABS(D28)-F28)+F28</f>
        <v>266.16150800713768</v>
      </c>
      <c r="G29">
        <f t="shared" ref="G29" si="186">IF(F29=0,0,ABS(E29/F29))</f>
        <v>0.62759806973373233</v>
      </c>
      <c r="H29">
        <f t="shared" ref="H29" si="187">ABS((B29-C29)/B29)</f>
        <v>4.4432453409254336E-2</v>
      </c>
      <c r="I29">
        <f t="shared" ref="I29" si="188">(B29-C29)^2</f>
        <v>13822.29851543631</v>
      </c>
    </row>
    <row r="30" spans="1:9" x14ac:dyDescent="0.45">
      <c r="A30">
        <v>29</v>
      </c>
      <c r="B30" s="1">
        <v>2014.8</v>
      </c>
      <c r="C30" s="1">
        <f t="shared" ref="C30" si="189">C29+G29*(B29-C29)</f>
        <v>2602.2173486730726</v>
      </c>
      <c r="D30" s="1">
        <f t="shared" ref="D30" si="190">B30-C30</f>
        <v>-587.41734867307264</v>
      </c>
      <c r="E30">
        <f t="shared" ref="E30" si="191">gamma*(D29-E29)+E29</f>
        <v>159.743701503914</v>
      </c>
      <c r="F30">
        <f t="shared" ref="F30" si="192">gamma*(ABS(D29)-F29)+F29</f>
        <v>244.24008296888999</v>
      </c>
      <c r="G30">
        <f t="shared" ref="G30" si="193">IF(F30=0,0,ABS(E30/F30))</f>
        <v>0.6540437571185288</v>
      </c>
      <c r="H30">
        <f t="shared" ref="H30" si="194">ABS((B30-C30)/B30)</f>
        <v>0.29155119548991099</v>
      </c>
      <c r="I30">
        <f t="shared" ref="I30" si="195">(B30-C30)^2</f>
        <v>345059.14152210217</v>
      </c>
    </row>
    <row r="31" spans="1:9" x14ac:dyDescent="0.45">
      <c r="A31">
        <v>30</v>
      </c>
      <c r="B31" s="1">
        <v>1998</v>
      </c>
      <c r="C31" s="1">
        <f t="shared" ref="C31" si="196">C30+G30*(B30-C30)</f>
        <v>2218.0206989503313</v>
      </c>
      <c r="D31" s="1">
        <f t="shared" ref="D31" si="197">B31-C31</f>
        <v>-220.02069895033128</v>
      </c>
      <c r="E31">
        <f t="shared" ref="E31" si="198">gamma*(D30-E30)+E30</f>
        <v>49.517722433097063</v>
      </c>
      <c r="F31">
        <f t="shared" ref="F31" si="199">gamma*(ABS(D30)-F30)+F30</f>
        <v>294.8677891349555</v>
      </c>
      <c r="G31">
        <f t="shared" ref="G31" si="200">IF(F31=0,0,ABS(E31/F31))</f>
        <v>0.16793194868237615</v>
      </c>
      <c r="H31">
        <f t="shared" ref="H31" si="201">ABS((B31-C31)/B31)</f>
        <v>0.11012046994511075</v>
      </c>
      <c r="I31">
        <f t="shared" ref="I31" si="202">(B31-C31)^2</f>
        <v>48409.10796659231</v>
      </c>
    </row>
    <row r="32" spans="1:9" x14ac:dyDescent="0.45">
      <c r="A32">
        <v>31</v>
      </c>
      <c r="B32" s="1">
        <v>2976</v>
      </c>
      <c r="C32" s="1">
        <f t="shared" ref="C32" si="203">C31+G31*(B31-C31)</f>
        <v>2181.0721942251439</v>
      </c>
      <c r="D32" s="1">
        <f t="shared" ref="D32" si="204">B32-C32</f>
        <v>794.9278057748561</v>
      </c>
      <c r="E32">
        <f t="shared" ref="E32" si="205">gamma*(D31-E31)+E31</f>
        <v>9.753689782903237</v>
      </c>
      <c r="F32">
        <f t="shared" ref="F32" si="206">gamma*(ABS(D31)-F31)+F31</f>
        <v>283.82586745789848</v>
      </c>
      <c r="G32">
        <f t="shared" ref="G32" si="207">IF(F32=0,0,ABS(E32/F32))</f>
        <v>3.4365048789466161E-2</v>
      </c>
      <c r="H32">
        <f t="shared" ref="H32" si="208">ABS((B32-C32)/B32)</f>
        <v>0.26711283796198121</v>
      </c>
      <c r="I32">
        <f t="shared" ref="I32" si="209">(B32-C32)^2</f>
        <v>631910.21639402735</v>
      </c>
    </row>
    <row r="33" spans="1:9" x14ac:dyDescent="0.45">
      <c r="A33">
        <v>32</v>
      </c>
      <c r="B33" s="1">
        <v>1867.1999999999998</v>
      </c>
      <c r="C33" s="1">
        <f t="shared" ref="C33" si="210">C32+G32*(B32-C32)</f>
        <v>2208.3899270546999</v>
      </c>
      <c r="D33" s="1">
        <f t="shared" ref="D33" si="211">B33-C33</f>
        <v>-341.18992705470009</v>
      </c>
      <c r="E33">
        <f t="shared" ref="E33" si="212">gamma*(D32-E32)+E32</f>
        <v>125.58759956149129</v>
      </c>
      <c r="F33">
        <f t="shared" ref="F33" si="213">gamma*(ABS(D32)-F32)+F32</f>
        <v>359.22689584747252</v>
      </c>
      <c r="G33">
        <f t="shared" ref="G33" si="214">IF(F33=0,0,ABS(E33/F33))</f>
        <v>0.34960522447855824</v>
      </c>
      <c r="H33">
        <f t="shared" ref="H33" si="215">ABS((B33-C33)/B33)</f>
        <v>0.18272811003357975</v>
      </c>
      <c r="I33">
        <f t="shared" ref="I33" si="216">(B33-C33)^2</f>
        <v>116410.56632359157</v>
      </c>
    </row>
    <row r="34" spans="1:9" x14ac:dyDescent="0.45">
      <c r="A34">
        <v>33</v>
      </c>
      <c r="B34" s="1">
        <v>1845.6</v>
      </c>
      <c r="C34" s="1">
        <f t="shared" ref="C34" si="217">C33+G33*(B33-C33)</f>
        <v>2089.1081460169185</v>
      </c>
      <c r="D34" s="1">
        <f t="shared" ref="D34" si="218">B34-C34</f>
        <v>-243.50814601691854</v>
      </c>
      <c r="E34">
        <f t="shared" ref="E34" si="219">gamma*(D33-E33)+E33</f>
        <v>56.725592009924796</v>
      </c>
      <c r="F34">
        <f t="shared" ref="F34" si="220">gamma*(ABS(D33)-F33)+F33</f>
        <v>356.56596679585488</v>
      </c>
      <c r="G34">
        <f t="shared" ref="G34" si="221">IF(F34=0,0,ABS(E34/F34))</f>
        <v>0.15908863237753132</v>
      </c>
      <c r="H34">
        <f t="shared" ref="H34" si="222">ABS((B34-C34)/B34)</f>
        <v>0.13193982770747645</v>
      </c>
      <c r="I34">
        <f t="shared" ref="I34" si="223">(B34-C34)^2</f>
        <v>59296.217176596925</v>
      </c>
    </row>
    <row r="35" spans="1:9" x14ac:dyDescent="0.45">
      <c r="A35">
        <v>34</v>
      </c>
      <c r="B35" s="1">
        <v>2764.7999999999997</v>
      </c>
      <c r="C35" s="1">
        <f t="shared" ref="C35" si="224">C34+G34*(B34-C34)</f>
        <v>2050.3687680942985</v>
      </c>
      <c r="D35" s="1">
        <f t="shared" ref="D35" si="225">B35-C35</f>
        <v>714.43123190570122</v>
      </c>
      <c r="E35">
        <f t="shared" ref="E35" si="226">gamma*(D34-E34)+E34</f>
        <v>12.433189834703263</v>
      </c>
      <c r="F35">
        <f t="shared" ref="F35" si="227">gamma*(ABS(D34)-F34)+F34</f>
        <v>339.88695363795637</v>
      </c>
      <c r="G35">
        <f t="shared" ref="G35" si="228">IF(F35=0,0,ABS(E35/F35))</f>
        <v>3.6580367977133224E-2</v>
      </c>
      <c r="H35">
        <f t="shared" ref="H35" si="229">ABS((B35-C35)/B35)</f>
        <v>0.2584024999658931</v>
      </c>
      <c r="I35">
        <f t="shared" ref="I35" si="230">(B35-C35)^2</f>
        <v>510411.98512229783</v>
      </c>
    </row>
    <row r="36" spans="1:9" x14ac:dyDescent="0.45">
      <c r="A36">
        <v>35</v>
      </c>
      <c r="B36" s="1">
        <v>2088</v>
      </c>
      <c r="C36" s="1">
        <f t="shared" ref="C36" si="231">C35+G35*(B35-C35)</f>
        <v>2076.5029254517658</v>
      </c>
      <c r="D36" s="1">
        <f t="shared" ref="D36" si="232">B36-C36</f>
        <v>11.497074548234195</v>
      </c>
      <c r="E36">
        <f t="shared" ref="E36" si="233">gamma*(D35-E35)+E35</f>
        <v>115.99643295978717</v>
      </c>
      <c r="F36">
        <f t="shared" ref="F36" si="234">gamma*(ABS(D35)-F35)+F35</f>
        <v>395.14212220925066</v>
      </c>
      <c r="G36">
        <f t="shared" ref="G36" si="235">IF(F36=0,0,ABS(E36/F36))</f>
        <v>0.29355623316301455</v>
      </c>
      <c r="H36">
        <f t="shared" ref="H36" si="236">ABS((B36-C36)/B36)</f>
        <v>5.5062617568171438E-3</v>
      </c>
      <c r="I36">
        <f t="shared" ref="I36" si="237">(B36-C36)^2</f>
        <v>132.18272316765453</v>
      </c>
    </row>
    <row r="37" spans="1:9" x14ac:dyDescent="0.45">
      <c r="A37">
        <v>36</v>
      </c>
      <c r="B37" s="1">
        <v>2553.6</v>
      </c>
      <c r="C37" s="1">
        <f t="shared" ref="C37" si="238">C36+G36*(B36-C36)</f>
        <v>2079.8779633485397</v>
      </c>
      <c r="D37" s="1">
        <f t="shared" ref="D37" si="239">B37-C37</f>
        <v>473.72203665146026</v>
      </c>
      <c r="E37">
        <f t="shared" ref="E37" si="240">gamma*(D36-E36)+E36</f>
        <v>100.58001893438109</v>
      </c>
      <c r="F37">
        <f t="shared" ref="F37" si="241">gamma*(ABS(D36)-F36)+F36</f>
        <v>338.54434990288013</v>
      </c>
      <c r="G37">
        <f t="shared" ref="G37" si="242">IF(F37=0,0,ABS(E37/F37))</f>
        <v>0.29709554734330956</v>
      </c>
      <c r="H37">
        <f t="shared" ref="H37" si="243">ABS((B37-C37)/B37)</f>
        <v>0.18551144918995155</v>
      </c>
      <c r="I37">
        <f t="shared" ref="I37" si="244">(B37-C37)^2</f>
        <v>224412.56800920746</v>
      </c>
    </row>
    <row r="38" spans="1:9" x14ac:dyDescent="0.45">
      <c r="A38">
        <v>37</v>
      </c>
      <c r="B38" s="1">
        <v>1980</v>
      </c>
      <c r="C38" s="1">
        <f t="shared" ref="C38" si="245">C37+G37*(B37-C37)</f>
        <v>2220.6186711160926</v>
      </c>
      <c r="D38" s="1">
        <f t="shared" ref="D38" si="246">B38-C38</f>
        <v>-240.61867111609263</v>
      </c>
      <c r="E38">
        <f t="shared" ref="E38" si="247">gamma*(D37-E37)+E37</f>
        <v>155.62831705642901</v>
      </c>
      <c r="F38">
        <f t="shared" ref="F38" si="248">gamma*(ABS(D37)-F37)+F37</f>
        <v>358.48662722965048</v>
      </c>
      <c r="G38">
        <f t="shared" ref="G38" si="249">IF(F38=0,0,ABS(E38/F38))</f>
        <v>0.43412586477523413</v>
      </c>
      <c r="H38">
        <f t="shared" ref="H38" si="250">ABS((B38-C38)/B38)</f>
        <v>0.12152458137176396</v>
      </c>
      <c r="I38">
        <f t="shared" ref="I38" si="251">(B38-C38)^2</f>
        <v>57897.34488967435</v>
      </c>
    </row>
    <row r="39" spans="1:9" x14ac:dyDescent="0.45">
      <c r="A39">
        <v>38</v>
      </c>
      <c r="B39" s="1">
        <v>2842.7999999999997</v>
      </c>
      <c r="C39" s="1">
        <f t="shared" ref="C39" si="252">C38+G38*(B38-C38)</f>
        <v>2116.1598824367511</v>
      </c>
      <c r="D39" s="1">
        <f t="shared" ref="D39" si="253">B39-C39</f>
        <v>726.64011756324862</v>
      </c>
      <c r="E39">
        <f t="shared" ref="E39" si="254">gamma*(D38-E38)+E38</f>
        <v>97.171425848258394</v>
      </c>
      <c r="F39">
        <f t="shared" ref="F39" si="255">gamma*(ABS(D38)-F38)+F38</f>
        <v>341.09799212800078</v>
      </c>
      <c r="G39">
        <f t="shared" ref="G39" si="256">IF(F39=0,0,ABS(E39/F39))</f>
        <v>0.28487832848864658</v>
      </c>
      <c r="H39">
        <f t="shared" ref="H39" si="257">ABS((B39-C39)/B39)</f>
        <v>0.25560718923710735</v>
      </c>
      <c r="I39">
        <f t="shared" ref="I39" si="258">(B39-C39)^2</f>
        <v>528005.86045233184</v>
      </c>
    </row>
    <row r="40" spans="1:9" x14ac:dyDescent="0.45">
      <c r="A40">
        <v>39</v>
      </c>
      <c r="B40" s="1">
        <v>2328</v>
      </c>
      <c r="C40" s="1">
        <f t="shared" ref="C40" si="259">C39+G39*(B39-C39)</f>
        <v>2323.1639045409629</v>
      </c>
      <c r="D40" s="1">
        <f t="shared" ref="D40" si="260">B40-C40</f>
        <v>4.8360954590370966</v>
      </c>
      <c r="E40">
        <f t="shared" ref="E40" si="261">gamma*(D39-E39)+E39</f>
        <v>190.03467510660164</v>
      </c>
      <c r="F40">
        <f t="shared" ref="F40" si="262">gamma*(ABS(D39)-F39)+F39</f>
        <v>397.97563348668416</v>
      </c>
      <c r="G40">
        <f t="shared" ref="G40" si="263">IF(F40=0,0,ABS(E40/F40))</f>
        <v>0.4775032919520687</v>
      </c>
      <c r="H40">
        <f t="shared" ref="H40" si="264">ABS((B40-C40)/B40)</f>
        <v>2.077360592369887E-3</v>
      </c>
      <c r="I40">
        <f t="shared" ref="I40" si="265">(B40-C40)^2</f>
        <v>23.387819288919225</v>
      </c>
    </row>
    <row r="41" spans="1:9" x14ac:dyDescent="0.45">
      <c r="A41">
        <v>40</v>
      </c>
      <c r="B41" s="1">
        <v>2404</v>
      </c>
      <c r="C41" s="1">
        <f t="shared" ref="C41" si="266">C40+G40*(B40-C40)</f>
        <v>2325.4731560428477</v>
      </c>
      <c r="D41" s="1">
        <f t="shared" ref="D41" si="267">B41-C41</f>
        <v>78.526843957152323</v>
      </c>
      <c r="E41">
        <f t="shared" ref="E41" si="268">gamma*(D40-E40)+E40</f>
        <v>162.71299558470753</v>
      </c>
      <c r="F41">
        <f t="shared" ref="F41" si="269">gamma*(ABS(D40)-F40)+F40</f>
        <v>339.97717320789809</v>
      </c>
      <c r="G41">
        <f t="shared" ref="G41" si="270">IF(F41=0,0,ABS(E41/F41))</f>
        <v>0.47859976612373195</v>
      </c>
      <c r="H41">
        <f t="shared" ref="H41" si="271">ABS((B41-C41)/B41)</f>
        <v>3.2665076521278008E-2</v>
      </c>
      <c r="I41">
        <f t="shared" ref="I41" si="272">(B41-C41)^2</f>
        <v>6166.4652218709507</v>
      </c>
    </row>
    <row r="42" spans="1:9" x14ac:dyDescent="0.45">
      <c r="A42">
        <v>41</v>
      </c>
      <c r="B42" s="1">
        <v>1614</v>
      </c>
      <c r="C42" s="1">
        <f t="shared" ref="C42" si="273">C41+G41*(B41-C41)</f>
        <v>2363.0560851951755</v>
      </c>
      <c r="D42" s="1">
        <f t="shared" ref="D42" si="274">B42-C42</f>
        <v>-749.05608519517546</v>
      </c>
      <c r="E42">
        <f t="shared" ref="E42" si="275">gamma*(D41-E41)+E41</f>
        <v>150.29331580462076</v>
      </c>
      <c r="F42">
        <f t="shared" ref="F42" si="276">gamma*(ABS(D41)-F41)+F41</f>
        <v>301.40634766335938</v>
      </c>
      <c r="G42">
        <f t="shared" ref="G42" si="277">IF(F42=0,0,ABS(E42/F42))</f>
        <v>0.49864018116991782</v>
      </c>
      <c r="H42">
        <f t="shared" ref="H42" si="278">ABS((B42-C42)/B42)</f>
        <v>0.46409918537495382</v>
      </c>
      <c r="I42">
        <f t="shared" ref="I42" si="279">(B42-C42)^2</f>
        <v>561085.01876792195</v>
      </c>
    </row>
    <row r="43" spans="1:9" x14ac:dyDescent="0.45">
      <c r="A43">
        <v>42</v>
      </c>
      <c r="B43" s="1">
        <v>1851</v>
      </c>
      <c r="C43" s="1">
        <f t="shared" ref="C43" si="280">C42+G42*(B42-C42)</f>
        <v>1989.5466231670239</v>
      </c>
      <c r="D43" s="1">
        <f t="shared" ref="D43" si="281">B43-C43</f>
        <v>-138.54662316702388</v>
      </c>
      <c r="E43">
        <f t="shared" ref="E43" si="282">gamma*(D42-E42)+E42</f>
        <v>17.615537394633947</v>
      </c>
      <c r="F43">
        <f t="shared" ref="F43" si="283">gamma*(ABS(D42)-F42)+F42</f>
        <v>367.44650137392875</v>
      </c>
      <c r="G43">
        <f t="shared" ref="G43" si="284">IF(F43=0,0,ABS(E43/F43))</f>
        <v>4.7940413988886092E-2</v>
      </c>
      <c r="H43">
        <f t="shared" ref="H43" si="285">ABS((B43-C43)/B43)</f>
        <v>7.4849607329564499E-2</v>
      </c>
      <c r="I43">
        <f t="shared" ref="I43" si="286">(B43-C43)^2</f>
        <v>19195.166790985317</v>
      </c>
    </row>
    <row r="44" spans="1:9" x14ac:dyDescent="0.45">
      <c r="A44">
        <v>43</v>
      </c>
      <c r="B44" s="1">
        <v>1648</v>
      </c>
      <c r="C44" s="1">
        <f t="shared" ref="C44" si="287">C43+G43*(B43-C43)</f>
        <v>1982.9046406956345</v>
      </c>
      <c r="D44" s="1">
        <f t="shared" ref="D44" si="288">B44-C44</f>
        <v>-334.9046406956345</v>
      </c>
      <c r="E44">
        <f t="shared" ref="E44" si="289">gamma*(D43-E43)+E43</f>
        <v>-5.422503784902144</v>
      </c>
      <c r="F44">
        <f t="shared" ref="F44" si="290">gamma*(ABS(D43)-F43)+F43</f>
        <v>333.67772665183878</v>
      </c>
      <c r="G44">
        <f t="shared" ref="G44" si="291">IF(F44=0,0,ABS(E44/F44))</f>
        <v>1.6250721435057052E-2</v>
      </c>
      <c r="H44">
        <f t="shared" ref="H44" si="292">ABS((B44-C44)/B44)</f>
        <v>0.20321883537356461</v>
      </c>
      <c r="I44">
        <f t="shared" ref="I44" si="293">(B44-C44)^2</f>
        <v>112161.11835947205</v>
      </c>
    </row>
    <row r="45" spans="1:9" x14ac:dyDescent="0.45">
      <c r="A45">
        <v>44</v>
      </c>
      <c r="B45" s="1">
        <v>1637</v>
      </c>
      <c r="C45" s="1">
        <f t="shared" ref="C45" si="294">C44+G44*(B44-C44)</f>
        <v>1977.4621986723819</v>
      </c>
      <c r="D45" s="1">
        <f t="shared" ref="D45" si="295">B45-C45</f>
        <v>-340.46219867238187</v>
      </c>
      <c r="E45">
        <f t="shared" ref="E45" si="296">gamma*(D44-E44)+E44</f>
        <v>-54.029816918700519</v>
      </c>
      <c r="F45">
        <f t="shared" ref="F45" si="297">gamma*(ABS(D44)-F44)+F44</f>
        <v>333.85872886238104</v>
      </c>
      <c r="G45">
        <f t="shared" ref="G45" si="298">IF(F45=0,0,ABS(E45/F45))</f>
        <v>0.16183436959340966</v>
      </c>
      <c r="H45">
        <f t="shared" ref="H45" si="299">ABS((B45-C45)/B45)</f>
        <v>0.20797935166303108</v>
      </c>
      <c r="I45">
        <f t="shared" ref="I45" si="300">(B45-C45)^2</f>
        <v>115914.50872483243</v>
      </c>
    </row>
    <row r="46" spans="1:9" x14ac:dyDescent="0.45">
      <c r="A46">
        <v>45</v>
      </c>
      <c r="B46" s="1">
        <v>2211.3000000000002</v>
      </c>
      <c r="C46" s="1">
        <f t="shared" ref="C46" si="301">C45+G45*(B45-C45)</f>
        <v>1922.3637133798507</v>
      </c>
      <c r="D46" s="1">
        <f t="shared" ref="D46" si="302">B46-C46</f>
        <v>288.93628662014953</v>
      </c>
      <c r="E46">
        <f t="shared" ref="E46" si="303">gamma*(D45-E45)+E45</f>
        <v>-96.286154704117351</v>
      </c>
      <c r="F46">
        <f t="shared" ref="F46" si="304">gamma*(ABS(D45)-F45)+F45</f>
        <v>334.83291498316385</v>
      </c>
      <c r="G46">
        <f t="shared" ref="G46" si="305">IF(F46=0,0,ABS(E46/F46))</f>
        <v>0.28756478349495251</v>
      </c>
      <c r="H46">
        <f t="shared" ref="H46" si="306">ABS((B46-C46)/B46)</f>
        <v>0.13066354027954122</v>
      </c>
      <c r="I46">
        <f t="shared" ref="I46" si="307">(B46-C46)^2</f>
        <v>83484.177725841204</v>
      </c>
    </row>
    <row r="47" spans="1:9" x14ac:dyDescent="0.45">
      <c r="A47">
        <v>46</v>
      </c>
      <c r="B47" s="1">
        <v>1754.1000000000001</v>
      </c>
      <c r="C47" s="1">
        <f t="shared" ref="C47" si="308">C46+G46*(B46-C46)</f>
        <v>2005.4516140856094</v>
      </c>
      <c r="D47" s="1">
        <f t="shared" ref="D47" si="309">B47-C47</f>
        <v>-251.3516140856093</v>
      </c>
      <c r="E47">
        <f t="shared" ref="E47" si="310">gamma*(D46-E46)+E46</f>
        <v>-39.455675191086783</v>
      </c>
      <c r="F47">
        <f t="shared" ref="F47" si="311">gamma*(ABS(D46)-F46)+F46</f>
        <v>328.06195068281079</v>
      </c>
      <c r="G47">
        <f t="shared" ref="G47" si="312">IF(F47=0,0,ABS(E47/F47))</f>
        <v>0.12026897696903231</v>
      </c>
      <c r="H47">
        <f t="shared" ref="H47" si="313">ABS((B47-C47)/B47)</f>
        <v>0.14329377691443435</v>
      </c>
      <c r="I47">
        <f t="shared" ref="I47" si="314">(B47-C47)^2</f>
        <v>63177.63390344107</v>
      </c>
    </row>
    <row r="48" spans="1:9" x14ac:dyDescent="0.45">
      <c r="A48">
        <v>47</v>
      </c>
      <c r="B48" s="1">
        <v>1600.2</v>
      </c>
      <c r="C48" s="1">
        <f t="shared" ref="C48" si="315">C47+G47*(B47-C47)</f>
        <v>1975.2218126000182</v>
      </c>
      <c r="D48" s="1">
        <f t="shared" ref="D48" si="316">B48-C48</f>
        <v>-375.02181260001817</v>
      </c>
      <c r="E48">
        <f t="shared" ref="E48" si="317">gamma*(D47-E47)+E47</f>
        <v>-70.715919980675451</v>
      </c>
      <c r="F48">
        <f t="shared" ref="F48" si="318">gamma*(ABS(D47)-F47)+F47</f>
        <v>316.74515097239288</v>
      </c>
      <c r="G48">
        <f t="shared" ref="G48" si="319">IF(F48=0,0,ABS(E48/F48))</f>
        <v>0.2232580980753166</v>
      </c>
      <c r="H48">
        <f t="shared" ref="H48" si="320">ABS((B48-C48)/B48)</f>
        <v>0.23435933795776662</v>
      </c>
      <c r="I48">
        <f t="shared" ref="I48" si="321">(B48-C48)^2</f>
        <v>140641.35992580315</v>
      </c>
    </row>
    <row r="49" spans="1:9" x14ac:dyDescent="0.45">
      <c r="A49">
        <v>48</v>
      </c>
      <c r="B49" s="1">
        <v>2001.6000000000001</v>
      </c>
      <c r="C49" s="1">
        <f t="shared" ref="C49" si="322">C48+G48*(B48-C48)</f>
        <v>1891.4951559821804</v>
      </c>
      <c r="D49" s="1">
        <f t="shared" ref="D49" si="323">B49-C49</f>
        <v>110.10484401781969</v>
      </c>
      <c r="E49">
        <f t="shared" ref="E49" si="324">gamma*(D48-E48)+E48</f>
        <v>-115.60907245836476</v>
      </c>
      <c r="F49">
        <f t="shared" ref="F49" si="325">gamma*(ABS(D48)-F48)+F48</f>
        <v>325.3424969975398</v>
      </c>
      <c r="G49">
        <f t="shared" ref="G49" si="326">IF(F49=0,0,ABS(E49/F49))</f>
        <v>0.35534574648340206</v>
      </c>
      <c r="H49">
        <f t="shared" ref="H49" si="327">ABS((B49-C49)/B49)</f>
        <v>5.500841527668849E-2</v>
      </c>
      <c r="I49">
        <f t="shared" ref="I49" si="328">(B49-C49)^2</f>
        <v>12123.076676188404</v>
      </c>
    </row>
    <row r="50" spans="1:9" x14ac:dyDescent="0.45">
      <c r="A50">
        <v>49</v>
      </c>
      <c r="B50" s="1">
        <v>1812.6000000000001</v>
      </c>
      <c r="C50" s="1">
        <f t="shared" ref="C50" si="329">C49+G49*(B49-C49)</f>
        <v>1930.6204439711312</v>
      </c>
      <c r="D50" s="1">
        <f t="shared" ref="D50" si="330">B50-C50</f>
        <v>-118.02044397113104</v>
      </c>
      <c r="E50">
        <f t="shared" ref="E50" si="331">gamma*(D49-E49)+E49</f>
        <v>-82.310311197184745</v>
      </c>
      <c r="F50">
        <f t="shared" ref="F50" si="332">gamma*(ABS(D49)-F49)+F49</f>
        <v>293.58926116307748</v>
      </c>
      <c r="G50">
        <f t="shared" ref="G50" si="333">IF(F50=0,0,ABS(E50/F50))</f>
        <v>0.28035872589857619</v>
      </c>
      <c r="H50">
        <f t="shared" ref="H50" si="334">ABS((B50-C50)/B50)</f>
        <v>6.5111135369707071E-2</v>
      </c>
      <c r="I50">
        <f t="shared" ref="I50" si="335">(B50-C50)^2</f>
        <v>13928.825195142883</v>
      </c>
    </row>
    <row r="51" spans="1:9" x14ac:dyDescent="0.45">
      <c r="A51">
        <v>50</v>
      </c>
      <c r="B51" s="1">
        <v>2025</v>
      </c>
      <c r="C51" s="1">
        <f t="shared" ref="C51" si="336">C50+G50*(B50-C50)</f>
        <v>1897.5323826694005</v>
      </c>
      <c r="D51" s="1">
        <f t="shared" ref="D51" si="337">B51-C51</f>
        <v>127.46761733059952</v>
      </c>
      <c r="E51">
        <f t="shared" ref="E51" si="338">gamma*(D50-E50)+E50</f>
        <v>-87.578498486691743</v>
      </c>
      <c r="F51">
        <f t="shared" ref="F51" si="339">gamma*(ABS(D50)-F50)+F50</f>
        <v>267.68822581774805</v>
      </c>
      <c r="G51">
        <f t="shared" ref="G51" si="340">IF(F51=0,0,ABS(E51/F51))</f>
        <v>0.3271660463180715</v>
      </c>
      <c r="H51">
        <f t="shared" ref="H51" si="341">ABS((B51-C51)/B51)</f>
        <v>6.2946971521283715E-2</v>
      </c>
      <c r="I51">
        <f t="shared" ref="I51" si="342">(B51-C51)^2</f>
        <v>16247.993467940156</v>
      </c>
    </row>
    <row r="52" spans="1:9" x14ac:dyDescent="0.45">
      <c r="A52">
        <v>51</v>
      </c>
      <c r="B52" s="1">
        <v>1508.4</v>
      </c>
      <c r="C52" s="1">
        <f t="shared" ref="C52" si="343">C51+G51*(B51-C51)</f>
        <v>1939.2354590650375</v>
      </c>
      <c r="D52" s="1">
        <f t="shared" ref="D52" si="344">B52-C52</f>
        <v>-430.83545906503741</v>
      </c>
      <c r="E52">
        <f t="shared" ref="E52" si="345">gamma*(D51-E51)+E51</f>
        <v>-55.853519440042668</v>
      </c>
      <c r="F52">
        <f t="shared" ref="F52" si="346">gamma*(ABS(D51)-F51)+F51</f>
        <v>247.00198440735807</v>
      </c>
      <c r="G52">
        <f t="shared" ref="G52" si="347">IF(F52=0,0,ABS(E52/F52))</f>
        <v>0.22612579236581559</v>
      </c>
      <c r="H52">
        <f t="shared" ref="H52" si="348">ABS((B52-C52)/B52)</f>
        <v>0.28562414416934329</v>
      </c>
      <c r="I52">
        <f t="shared" ref="I52" si="349">(B52-C52)^2</f>
        <v>185619.19278778153</v>
      </c>
    </row>
    <row r="53" spans="1:9" x14ac:dyDescent="0.45">
      <c r="A53">
        <v>52</v>
      </c>
      <c r="B53" s="1">
        <v>1693.8</v>
      </c>
      <c r="C53" s="1">
        <f t="shared" ref="C53" si="350">C52+G52*(B52-C52)</f>
        <v>1841.8124495046659</v>
      </c>
      <c r="D53" s="1">
        <f t="shared" ref="D53" si="351">B53-C53</f>
        <v>-148.01244950466594</v>
      </c>
      <c r="E53">
        <f t="shared" ref="E53" si="352">gamma*(D52-E52)+E52</f>
        <v>-111.17325461527452</v>
      </c>
      <c r="F53">
        <f t="shared" ref="F53" si="353">gamma*(ABS(D52)-F52)+F52</f>
        <v>274.12227490608387</v>
      </c>
      <c r="G53">
        <f t="shared" ref="G53" si="354">IF(F53=0,0,ABS(E53/F53))</f>
        <v>0.40556082008790867</v>
      </c>
      <c r="H53">
        <f t="shared" ref="H53" si="355">ABS((B53-C53)/B53)</f>
        <v>8.7384844435391393E-2</v>
      </c>
      <c r="I53">
        <f t="shared" ref="I53" si="356">(B53-C53)^2</f>
        <v>21907.685208371284</v>
      </c>
    </row>
    <row r="54" spans="1:9" x14ac:dyDescent="0.45">
      <c r="A54">
        <v>53</v>
      </c>
      <c r="B54" s="1">
        <v>2007</v>
      </c>
      <c r="C54" s="1">
        <f t="shared" ref="C54" si="357">C53+G53*(B53-C53)</f>
        <v>1781.7843991003333</v>
      </c>
      <c r="D54" s="1">
        <f t="shared" ref="D54" si="358">B54-C54</f>
        <v>225.2156008996667</v>
      </c>
      <c r="E54">
        <f t="shared" ref="E54" si="359">gamma*(D53-E53)+E53</f>
        <v>-116.60800837271667</v>
      </c>
      <c r="F54">
        <f t="shared" ref="F54" si="360">gamma*(ABS(D53)-F53)+F53</f>
        <v>255.51774650885503</v>
      </c>
      <c r="G54">
        <f t="shared" ref="G54" si="361">IF(F54=0,0,ABS(E54/F54))</f>
        <v>0.45635972438679751</v>
      </c>
      <c r="H54">
        <f t="shared" ref="H54" si="362">ABS((B54-C54)/B54)</f>
        <v>0.11221504778259427</v>
      </c>
      <c r="I54">
        <f t="shared" ref="I54" si="363">(B54-C54)^2</f>
        <v>50722.066888597954</v>
      </c>
    </row>
    <row r="55" spans="1:9" x14ac:dyDescent="0.45">
      <c r="A55">
        <v>54</v>
      </c>
      <c r="B55" s="1">
        <v>1642.5</v>
      </c>
      <c r="C55" s="1">
        <f t="shared" ref="C55" si="364">C54+G54*(B54-C54)</f>
        <v>1884.5637286545123</v>
      </c>
      <c r="D55" s="1">
        <f t="shared" ref="D55" si="365">B55-C55</f>
        <v>-242.06372865451226</v>
      </c>
      <c r="E55">
        <f t="shared" ref="E55" si="366">gamma*(D54-E54)+E54</f>
        <v>-66.180002265273373</v>
      </c>
      <c r="F55">
        <f t="shared" ref="F55" si="367">gamma*(ABS(D54)-F54)+F54</f>
        <v>251.04738009062692</v>
      </c>
      <c r="G55">
        <f t="shared" ref="G55" si="368">IF(F55=0,0,ABS(E55/F55))</f>
        <v>0.26361558619485576</v>
      </c>
      <c r="H55">
        <f t="shared" ref="H55" si="369">ABS((B55-C55)/B55)</f>
        <v>0.14737517726302116</v>
      </c>
      <c r="I55">
        <f t="shared" ref="I55" si="370">(B55-C55)^2</f>
        <v>58594.848730125341</v>
      </c>
    </row>
    <row r="56" spans="1:9" x14ac:dyDescent="0.45">
      <c r="A56">
        <v>55</v>
      </c>
      <c r="B56" s="1">
        <v>1917</v>
      </c>
      <c r="C56" s="1">
        <f t="shared" ref="C56" si="371">C55+G55*(B55-C55)</f>
        <v>1820.7519569287406</v>
      </c>
      <c r="D56" s="1">
        <f t="shared" ref="D56" si="372">B56-C56</f>
        <v>96.248043071259417</v>
      </c>
      <c r="E56">
        <f t="shared" ref="E56" si="373">gamma*(D55-E55)+E55</f>
        <v>-92.127495030434488</v>
      </c>
      <c r="F56">
        <f t="shared" ref="F56" si="374">gamma*(ABS(D55)-F55)+F55</f>
        <v>249.72205434600716</v>
      </c>
      <c r="G56">
        <f t="shared" ref="G56" si="375">IF(F56=0,0,ABS(E56/F56))</f>
        <v>0.36892013911909233</v>
      </c>
      <c r="H56">
        <f t="shared" ref="H56" si="376">ABS((B56-C56)/B56)</f>
        <v>5.0207638534824947E-2</v>
      </c>
      <c r="I56">
        <f t="shared" ref="I56" si="377">(B56-C56)^2</f>
        <v>9263.6857950470076</v>
      </c>
    </row>
    <row r="57" spans="1:9" x14ac:dyDescent="0.45">
      <c r="A57">
        <v>56</v>
      </c>
      <c r="B57" s="1">
        <v>1721.7</v>
      </c>
      <c r="C57" s="1">
        <f t="shared" ref="C57" si="378">C56+G56*(B56-C56)</f>
        <v>1856.25979836853</v>
      </c>
      <c r="D57" s="1">
        <f t="shared" ref="D57" si="379">B57-C57</f>
        <v>-134.55979836852998</v>
      </c>
      <c r="E57">
        <f t="shared" ref="E57" si="380">gamma*(D56-E56)+E56</f>
        <v>-64.33713026860346</v>
      </c>
      <c r="F57">
        <f t="shared" ref="F57" si="381">gamma*(ABS(D56)-F56)+F56</f>
        <v>227.08058615025817</v>
      </c>
      <c r="G57">
        <f t="shared" ref="G57" si="382">IF(F57=0,0,ABS(E57/F57))</f>
        <v>0.28332290029422363</v>
      </c>
      <c r="H57">
        <f t="shared" ref="H57" si="383">ABS((B57-C57)/B57)</f>
        <v>7.8155194498768649E-2</v>
      </c>
      <c r="I57">
        <f t="shared" ref="I57" si="384">(B57-C57)^2</f>
        <v>18106.339336979443</v>
      </c>
    </row>
    <row r="58" spans="1:9" x14ac:dyDescent="0.45">
      <c r="A58">
        <v>57</v>
      </c>
      <c r="B58" s="1">
        <v>1440</v>
      </c>
      <c r="C58" s="1">
        <f t="shared" ref="C58" si="385">C57+G57*(B57-C57)</f>
        <v>1818.1359260317522</v>
      </c>
      <c r="D58" s="1">
        <f t="shared" ref="D58" si="386">B58-C58</f>
        <v>-378.13592603175221</v>
      </c>
      <c r="E58">
        <f t="shared" ref="E58" si="387">gamma*(D57-E57)+E57</f>
        <v>-74.696827608883567</v>
      </c>
      <c r="F58">
        <f t="shared" ref="F58" si="388">gamma*(ABS(D57)-F57)+F57</f>
        <v>213.43132751287533</v>
      </c>
      <c r="G58">
        <f t="shared" ref="G58" si="389">IF(F58=0,0,ABS(E58/F58))</f>
        <v>0.34998061661954216</v>
      </c>
      <c r="H58">
        <f t="shared" ref="H58" si="390">ABS((B58-C58)/B58)</f>
        <v>0.26259439307760568</v>
      </c>
      <c r="I58">
        <f t="shared" ref="I58" si="391">(B58-C58)^2</f>
        <v>142986.77855589078</v>
      </c>
    </row>
    <row r="59" spans="1:9" x14ac:dyDescent="0.45">
      <c r="A59">
        <v>58</v>
      </c>
      <c r="B59" s="1">
        <v>1775.7</v>
      </c>
      <c r="C59" s="1">
        <f t="shared" ref="C59" si="392">C58+G58*(B58-C58)</f>
        <v>1685.7956814731581</v>
      </c>
      <c r="D59" s="1">
        <f t="shared" ref="D59" si="393">B59-C59</f>
        <v>89.904318526841962</v>
      </c>
      <c r="E59">
        <f t="shared" ref="E59" si="394">gamma*(D58-E58)+E58</f>
        <v>-119.4621050602494</v>
      </c>
      <c r="F59">
        <f t="shared" ref="F59" si="395">gamma*(ABS(D58)-F58)+F58</f>
        <v>237.72960380137906</v>
      </c>
      <c r="G59">
        <f t="shared" ref="G59" si="396">IF(F59=0,0,ABS(E59/F59))</f>
        <v>0.50251253167467902</v>
      </c>
      <c r="H59">
        <f t="shared" ref="H59" si="397">ABS((B59-C59)/B59)</f>
        <v>5.0630353396881204E-2</v>
      </c>
      <c r="I59">
        <f t="shared" ref="I59" si="398">(B59-C59)^2</f>
        <v>8082.7864897758591</v>
      </c>
    </row>
    <row r="60" spans="1:9" x14ac:dyDescent="0.45">
      <c r="A60">
        <v>59</v>
      </c>
      <c r="B60" s="1">
        <v>2242.8000000000002</v>
      </c>
      <c r="C60" s="1">
        <f t="shared" ref="C60" si="399">C59+G59*(B59-C59)</f>
        <v>1730.9737281845682</v>
      </c>
      <c r="D60" s="1">
        <f t="shared" ref="D60" si="400">B60-C60</f>
        <v>511.82627181543194</v>
      </c>
      <c r="E60">
        <f t="shared" ref="E60" si="401">gamma*(D59-E59)+E59</f>
        <v>-88.57503055472489</v>
      </c>
      <c r="F60">
        <f t="shared" ref="F60" si="402">gamma*(ABS(D59)-F59)+F59</f>
        <v>215.92147181035929</v>
      </c>
      <c r="G60">
        <f t="shared" ref="G60" si="403">IF(F60=0,0,ABS(E60/F60))</f>
        <v>0.41021872355760458</v>
      </c>
      <c r="H60">
        <f t="shared" ref="H60" si="404">ABS((B60-C60)/B60)</f>
        <v>0.22820861058294628</v>
      </c>
      <c r="I60">
        <f t="shared" ref="I60" si="405">(B60-C60)^2</f>
        <v>261966.13252048442</v>
      </c>
    </row>
    <row r="61" spans="1:9" x14ac:dyDescent="0.45">
      <c r="A61">
        <v>60</v>
      </c>
      <c r="B61" s="1">
        <v>1638.9</v>
      </c>
      <c r="C61" s="1">
        <f t="shared" ref="C61" si="406">C60+G60*(B60-C60)</f>
        <v>1940.9344480919424</v>
      </c>
      <c r="D61" s="1">
        <f t="shared" ref="D61" si="407">B61-C61</f>
        <v>-302.03444809194229</v>
      </c>
      <c r="E61">
        <f t="shared" ref="E61" si="408">gamma*(D60-E60)+E60</f>
        <v>1.1430490388875114E-5</v>
      </c>
      <c r="F61">
        <f t="shared" ref="F61" si="409">gamma*(ABS(D60)-F60)+F60</f>
        <v>259.5752413485161</v>
      </c>
      <c r="G61">
        <f t="shared" ref="G61" si="410">IF(F61=0,0,ABS(E61/F61))</f>
        <v>4.403536458058448E-8</v>
      </c>
      <c r="H61">
        <f t="shared" ref="H61" si="411">ABS((B61-C61)/B61)</f>
        <v>0.18429095618521099</v>
      </c>
      <c r="I61">
        <f t="shared" ref="I61" si="412">(B61-C61)^2</f>
        <v>91224.807834204184</v>
      </c>
    </row>
    <row r="62" spans="1:9" x14ac:dyDescent="0.45">
      <c r="A62">
        <v>61</v>
      </c>
      <c r="B62" s="1">
        <v>1717.2</v>
      </c>
      <c r="C62" s="1">
        <f t="shared" ref="C62" si="413">C61+G61*(B61-C61)</f>
        <v>1940.9344347917454</v>
      </c>
      <c r="D62" s="1">
        <f t="shared" ref="D62" si="414">B62-C62</f>
        <v>-223.73443479174534</v>
      </c>
      <c r="E62">
        <f t="shared" ref="E62" si="415">gamma*(D61-E61)+E61</f>
        <v>-44.558044702252332</v>
      </c>
      <c r="F62">
        <f t="shared" ref="F62" si="416">gamma*(ABS(D61)-F61)+F61</f>
        <v>265.83909521610701</v>
      </c>
      <c r="G62">
        <f t="shared" ref="G62" si="417">IF(F62=0,0,ABS(E62/F62))</f>
        <v>0.16761283612566474</v>
      </c>
      <c r="H62">
        <f t="shared" ref="H62" si="418">ABS((B62-C62)/B62)</f>
        <v>0.13029026018620157</v>
      </c>
      <c r="I62">
        <f t="shared" ref="I62" si="419">(B62-C62)^2</f>
        <v>50057.097311581747</v>
      </c>
    </row>
    <row r="63" spans="1:9" x14ac:dyDescent="0.45">
      <c r="A63">
        <v>62</v>
      </c>
      <c r="B63" s="1">
        <v>2664.2000000000003</v>
      </c>
      <c r="C63" s="1">
        <f t="shared" ref="C63" si="420">C62+G62*(B62-C62)</f>
        <v>1903.4336716373284</v>
      </c>
      <c r="D63" s="1">
        <f t="shared" ref="D63" si="421">B63-C63</f>
        <v>760.76632836267186</v>
      </c>
      <c r="E63">
        <f t="shared" ref="E63" si="422">gamma*(D62-E62)+E62</f>
        <v>-70.991292285635666</v>
      </c>
      <c r="F63">
        <f t="shared" ref="F63" si="423">gamma*(ABS(D62)-F62)+F62</f>
        <v>259.62754629018241</v>
      </c>
      <c r="G63">
        <f t="shared" ref="G63" si="424">IF(F63=0,0,ABS(E63/F63))</f>
        <v>0.27343513159535698</v>
      </c>
      <c r="H63">
        <f t="shared" ref="H63" si="425">ABS((B63-C63)/B63)</f>
        <v>0.28555150828116199</v>
      </c>
      <c r="I63">
        <f t="shared" ref="I63" si="426">(B63-C63)^2</f>
        <v>578765.40637042071</v>
      </c>
    </row>
    <row r="64" spans="1:9" x14ac:dyDescent="0.45">
      <c r="A64">
        <v>63</v>
      </c>
      <c r="B64" s="1">
        <v>2063.6000000000004</v>
      </c>
      <c r="C64" s="1">
        <f t="shared" ref="C64" si="427">C63+G63*(B63-C63)</f>
        <v>2111.4539127464923</v>
      </c>
      <c r="D64" s="1">
        <f t="shared" ref="D64" si="428">B64-C64</f>
        <v>-47.853912746491915</v>
      </c>
      <c r="E64">
        <f t="shared" ref="E64" si="429">gamma*(D63-E63)+E63</f>
        <v>51.714914179296443</v>
      </c>
      <c r="F64">
        <f t="shared" ref="F64" si="430">gamma*(ABS(D63)-F63)+F63</f>
        <v>333.55874611813391</v>
      </c>
      <c r="G64">
        <f t="shared" ref="G64" si="431">IF(F64=0,0,ABS(E64/F64))</f>
        <v>0.15503989861198536</v>
      </c>
      <c r="H64">
        <f t="shared" ref="H64" si="432">ABS((B64-C64)/B64)</f>
        <v>2.3189529340226743E-2</v>
      </c>
      <c r="I64">
        <f t="shared" ref="I64" si="433">(B64-C64)^2</f>
        <v>2289.9969651488614</v>
      </c>
    </row>
    <row r="65" spans="1:9" x14ac:dyDescent="0.45">
      <c r="A65">
        <v>64</v>
      </c>
      <c r="B65" s="1">
        <v>1993.2000000000003</v>
      </c>
      <c r="C65" s="1">
        <f t="shared" ref="C65" si="434">C64+G64*(B64-C64)</f>
        <v>2104.0346469660894</v>
      </c>
      <c r="D65" s="1">
        <f t="shared" ref="D65" si="435">B65-C65</f>
        <v>-110.83464696608917</v>
      </c>
      <c r="E65">
        <f t="shared" ref="E65" si="436">gamma*(D64-E64)+E64</f>
        <v>37.025883708251442</v>
      </c>
      <c r="F65">
        <f t="shared" ref="F65" si="437">gamma*(ABS(D64)-F64)+F64</f>
        <v>291.40974092548629</v>
      </c>
      <c r="G65">
        <f t="shared" ref="G65" si="438">IF(F65=0,0,ABS(E65/F65))</f>
        <v>0.12705781073296032</v>
      </c>
      <c r="H65">
        <f t="shared" ref="H65" si="439">ABS((B65-C65)/B65)</f>
        <v>5.5606385192699753E-2</v>
      </c>
      <c r="I65">
        <f t="shared" ref="I65" si="440">(B65-C65)^2</f>
        <v>12284.318968097619</v>
      </c>
    </row>
    <row r="66" spans="1:9" x14ac:dyDescent="0.45">
      <c r="A66">
        <v>65</v>
      </c>
      <c r="B66" s="1">
        <v>1870.0000000000002</v>
      </c>
      <c r="C66" s="1">
        <f t="shared" ref="C66" si="441">C65+G65*(B65-C65)</f>
        <v>2089.9522393692178</v>
      </c>
      <c r="D66" s="1">
        <f t="shared" ref="D66" si="442">B66-C66</f>
        <v>-219.95223936921752</v>
      </c>
      <c r="E66">
        <f t="shared" ref="E66" si="443">gamma*(D65-E65)+E65</f>
        <v>15.212552090323705</v>
      </c>
      <c r="F66">
        <f t="shared" ref="F66" si="444">gamma*(ABS(D65)-F65)+F65</f>
        <v>264.7701475971611</v>
      </c>
      <c r="G66">
        <f t="shared" ref="G66" si="445">IF(F66=0,0,ABS(E66/F66))</f>
        <v>5.7455692148002627E-2</v>
      </c>
      <c r="H66">
        <f t="shared" ref="H66" si="446">ABS((B66-C66)/B66)</f>
        <v>0.11762151837926069</v>
      </c>
      <c r="I66">
        <f t="shared" ref="I66" si="447">(B66-C66)^2</f>
        <v>48378.987603533562</v>
      </c>
    </row>
    <row r="67" spans="1:9" x14ac:dyDescent="0.45">
      <c r="A67">
        <v>66</v>
      </c>
      <c r="B67" s="1">
        <v>2328</v>
      </c>
      <c r="C67" s="1">
        <f t="shared" ref="C67" si="448">C66+G66*(B66-C66)</f>
        <v>2077.3147312167562</v>
      </c>
      <c r="D67" s="1">
        <f t="shared" ref="D67" si="449">B67-C67</f>
        <v>250.68526878324383</v>
      </c>
      <c r="E67">
        <f t="shared" ref="E67" si="450">gamma*(D66-E66)+E66</f>
        <v>-19.480462722844379</v>
      </c>
      <c r="F67">
        <f t="shared" ref="F67" si="451">gamma*(ABS(D66)-F66)+F66</f>
        <v>258.15832299366912</v>
      </c>
      <c r="G67">
        <f t="shared" ref="G67" si="452">IF(F67=0,0,ABS(E67/F67))</f>
        <v>7.5459363451637021E-2</v>
      </c>
      <c r="H67">
        <f t="shared" ref="H67" si="453">ABS((B67-C67)/B67)</f>
        <v>0.10768267559417691</v>
      </c>
      <c r="I67">
        <f t="shared" ref="I67" si="454">(B67-C67)^2</f>
        <v>62843.103984927206</v>
      </c>
    </row>
    <row r="68" spans="1:9" x14ac:dyDescent="0.45">
      <c r="A68">
        <v>67</v>
      </c>
      <c r="B68" s="1">
        <v>1825.2</v>
      </c>
      <c r="C68" s="1">
        <f t="shared" ref="C68" si="455">C67+G67*(B67-C67)</f>
        <v>2096.2312820258421</v>
      </c>
      <c r="D68" s="1">
        <f t="shared" ref="D68" si="456">B68-C68</f>
        <v>-271.03128202584207</v>
      </c>
      <c r="E68">
        <f t="shared" ref="E68" si="457">gamma*(D67-E67)+E67</f>
        <v>20.376114730688485</v>
      </c>
      <c r="F68">
        <f t="shared" ref="F68" si="458">gamma*(ABS(D67)-F67)+F67</f>
        <v>257.05585021782207</v>
      </c>
      <c r="G68">
        <f t="shared" ref="G68" si="459">IF(F68=0,0,ABS(E68/F68))</f>
        <v>7.9267267068313468E-2</v>
      </c>
      <c r="H68">
        <f t="shared" ref="H68" si="460">ABS((B68-C68)/B68)</f>
        <v>0.14849401820394589</v>
      </c>
      <c r="I68">
        <f t="shared" ref="I68" si="461">(B68-C68)^2</f>
        <v>73457.955836571549</v>
      </c>
    </row>
    <row r="69" spans="1:9" x14ac:dyDescent="0.45">
      <c r="A69">
        <v>68</v>
      </c>
      <c r="B69" s="1">
        <v>2660.4</v>
      </c>
      <c r="C69" s="1">
        <f t="shared" ref="C69" si="462">C68+G68*(B68-C68)</f>
        <v>2074.7473730096322</v>
      </c>
      <c r="D69" s="1">
        <f t="shared" ref="D69" si="463">B69-C69</f>
        <v>585.65262699036793</v>
      </c>
      <c r="E69">
        <f t="shared" ref="E69" si="464">gamma*(D68-E68)+E68</f>
        <v>-22.614169102171743</v>
      </c>
      <c r="F69">
        <f t="shared" ref="F69" si="465">gamma*(ABS(D68)-F68)+F68</f>
        <v>259.11759534440694</v>
      </c>
      <c r="G69">
        <f t="shared" ref="G69" si="466">IF(F69=0,0,ABS(E69/F69))</f>
        <v>8.7273768777122424E-2</v>
      </c>
      <c r="H69">
        <f t="shared" ref="H69" si="467">ABS((B69-C69)/B69)</f>
        <v>0.22013705720582166</v>
      </c>
      <c r="I69">
        <f t="shared" ref="I69" si="468">(B69-C69)^2</f>
        <v>342988.99950071902</v>
      </c>
    </row>
    <row r="70" spans="1:9" x14ac:dyDescent="0.45">
      <c r="A70">
        <v>69</v>
      </c>
      <c r="B70" s="1">
        <v>2955.6</v>
      </c>
      <c r="C70" s="1">
        <f t="shared" ref="C70" si="469">C69+G69*(B69-C69)</f>
        <v>2125.8594849613037</v>
      </c>
      <c r="D70" s="1">
        <f t="shared" ref="D70" si="470">B70-C70</f>
        <v>829.74051503869623</v>
      </c>
      <c r="E70">
        <f t="shared" ref="E70" si="471">gamma*(D69-E69)+E69</f>
        <v>67.121240846844174</v>
      </c>
      <c r="F70">
        <f t="shared" ref="F70" si="472">gamma*(ABS(D69)-F69)+F69</f>
        <v>307.29013265155157</v>
      </c>
      <c r="G70">
        <f t="shared" ref="G70" si="473">IF(F70=0,0,ABS(E70/F70))</f>
        <v>0.21842953520071404</v>
      </c>
      <c r="H70">
        <f t="shared" ref="H70" si="474">ABS((B70-C70)/B70)</f>
        <v>0.28073505042586827</v>
      </c>
      <c r="I70">
        <f t="shared" ref="I70" si="475">(B70-C70)^2</f>
        <v>688469.32229668088</v>
      </c>
    </row>
    <row r="71" spans="1:9" x14ac:dyDescent="0.45">
      <c r="A71">
        <v>70</v>
      </c>
      <c r="B71" s="1">
        <v>2642.4</v>
      </c>
      <c r="C71" s="1">
        <f t="shared" ref="C71" si="476">C70+G70*(B70-C70)</f>
        <v>2307.0993199984073</v>
      </c>
      <c r="D71" s="1">
        <f t="shared" ref="D71" si="477">B71-C71</f>
        <v>335.30068000159281</v>
      </c>
      <c r="E71">
        <f t="shared" ref="E71" si="478">gamma*(D70-E70)+E70</f>
        <v>179.62771603871951</v>
      </c>
      <c r="F71">
        <f t="shared" ref="F71" si="479">gamma*(ABS(D70)-F70)+F70</f>
        <v>384.36535612700499</v>
      </c>
      <c r="G71">
        <f t="shared" ref="G71" si="480">IF(F71=0,0,ABS(E71/F71))</f>
        <v>0.46733586462814697</v>
      </c>
      <c r="H71">
        <f t="shared" ref="H71" si="481">ABS((B71-C71)/B71)</f>
        <v>0.12689247653708477</v>
      </c>
      <c r="I71">
        <f t="shared" ref="I71" si="482">(B71-C71)^2</f>
        <v>112426.54600953055</v>
      </c>
    </row>
    <row r="72" spans="1:9" x14ac:dyDescent="0.45">
      <c r="A72">
        <v>71</v>
      </c>
      <c r="B72" s="1">
        <v>2485.1999999999998</v>
      </c>
      <c r="C72" s="1">
        <f t="shared" ref="C72" si="483">C71+G71*(B71-C71)</f>
        <v>2463.7973531973571</v>
      </c>
      <c r="D72" s="1">
        <f t="shared" ref="D72" si="484">B72-C72</f>
        <v>21.402646802642721</v>
      </c>
      <c r="E72">
        <f t="shared" ref="E72" si="485">gamma*(D71-E71)+E71</f>
        <v>202.59358780572217</v>
      </c>
      <c r="F72">
        <f t="shared" ref="F72" si="486">gamma*(ABS(D71)-F71)+F71</f>
        <v>377.12702114897718</v>
      </c>
      <c r="G72">
        <f t="shared" ref="G72" si="487">IF(F72=0,0,ABS(E72/F72))</f>
        <v>0.53720252446639527</v>
      </c>
      <c r="H72">
        <f t="shared" ref="H72" si="488">ABS((B72-C72)/B72)</f>
        <v>8.6120420097548379E-3</v>
      </c>
      <c r="I72">
        <f t="shared" ref="I72" si="489">(B72-C72)^2</f>
        <v>458.07329015867271</v>
      </c>
    </row>
    <row r="73" spans="1:9" x14ac:dyDescent="0.45">
      <c r="A73">
        <v>72</v>
      </c>
      <c r="B73" s="1">
        <v>2701.2</v>
      </c>
      <c r="C73" s="1">
        <f t="shared" ref="C73" si="490">C72+G72*(B72-C72)</f>
        <v>2475.2949090899992</v>
      </c>
      <c r="D73" s="1">
        <f t="shared" ref="D73" si="491">B73-C73</f>
        <v>225.90509091000058</v>
      </c>
      <c r="E73">
        <f t="shared" ref="E73" si="492">gamma*(D72-E72)+E72</f>
        <v>175.86314078081887</v>
      </c>
      <c r="F73">
        <f t="shared" ref="F73" si="493">gamma*(ABS(D72)-F72)+F72</f>
        <v>324.64828522933783</v>
      </c>
      <c r="G73">
        <f t="shared" ref="G73" si="494">IF(F73=0,0,ABS(E73/F73))</f>
        <v>0.54170358748879799</v>
      </c>
      <c r="H73">
        <f t="shared" ref="H73" si="495">ABS((B73-C73)/B73)</f>
        <v>8.3631382685473349E-2</v>
      </c>
      <c r="I73">
        <f t="shared" ref="I73" si="496">(B73-C73)^2</f>
        <v>51033.11009905563</v>
      </c>
    </row>
    <row r="74" spans="1:9" x14ac:dyDescent="0.45">
      <c r="A74">
        <v>73</v>
      </c>
      <c r="B74" s="1">
        <v>2676</v>
      </c>
      <c r="C74" s="1">
        <f t="shared" ref="C74" si="497">C73+G73*(B73-C73)</f>
        <v>2597.6685072679297</v>
      </c>
      <c r="D74" s="1">
        <f t="shared" ref="D74" si="498">B74-C74</f>
        <v>78.331492732070274</v>
      </c>
      <c r="E74">
        <f t="shared" ref="E74" si="499">gamma*(D73-E73)+E73</f>
        <v>183.24564947328275</v>
      </c>
      <c r="F74">
        <f t="shared" ref="F74" si="500">gamma*(ABS(D73)-F73)+F73</f>
        <v>310.08105736347051</v>
      </c>
      <c r="G74">
        <f t="shared" ref="G74" si="501">IF(F74=0,0,ABS(E74/F74))</f>
        <v>0.59096047669395702</v>
      </c>
      <c r="H74">
        <f t="shared" ref="H74" si="502">ABS((B74-C74)/B74)</f>
        <v>2.9271858270579324E-2</v>
      </c>
      <c r="I74">
        <f t="shared" ref="I74" si="503">(B74-C74)^2</f>
        <v>6135.8227536343784</v>
      </c>
    </row>
    <row r="75" spans="1:9" x14ac:dyDescent="0.45">
      <c r="A75">
        <v>74</v>
      </c>
      <c r="B75" s="1">
        <v>2470.7999999999997</v>
      </c>
      <c r="C75" s="1">
        <f t="shared" ref="C75" si="504">C74+G74*(B74-C74)</f>
        <v>2643.9593235530233</v>
      </c>
      <c r="D75" s="1">
        <f t="shared" ref="D75" si="505">B75-C75</f>
        <v>-173.15932355302357</v>
      </c>
      <c r="E75">
        <f t="shared" ref="E75" si="506">gamma*(D74-E74)+E74</f>
        <v>167.76804174406564</v>
      </c>
      <c r="F75">
        <f t="shared" ref="F75" si="507">gamma*(ABS(D74)-F74)+F74</f>
        <v>275.89187866540988</v>
      </c>
      <c r="G75">
        <f t="shared" ref="G75" si="508">IF(F75=0,0,ABS(E75/F75))</f>
        <v>0.6080934406464632</v>
      </c>
      <c r="H75">
        <f t="shared" ref="H75" si="509">ABS((B75-C75)/B75)</f>
        <v>7.0082290575126924E-2</v>
      </c>
      <c r="I75">
        <f t="shared" ref="I75" si="510">(B75-C75)^2</f>
        <v>29984.151333340702</v>
      </c>
    </row>
    <row r="76" spans="1:9" x14ac:dyDescent="0.45">
      <c r="A76">
        <v>75</v>
      </c>
      <c r="B76" s="1">
        <v>2274</v>
      </c>
      <c r="C76" s="1">
        <f t="shared" ref="C76" si="511">C75+G75*(B75-C75)</f>
        <v>2538.6622747136512</v>
      </c>
      <c r="D76" s="1">
        <f t="shared" ref="D76" si="512">B76-C76</f>
        <v>-264.66227471365119</v>
      </c>
      <c r="E76">
        <f t="shared" ref="E76" si="513">gamma*(D75-E75)+E75</f>
        <v>117.47225528276118</v>
      </c>
      <c r="F76">
        <f t="shared" ref="F76" si="514">gamma*(ABS(D75)-F75)+F75</f>
        <v>260.73611476815228</v>
      </c>
      <c r="G76">
        <f t="shared" ref="G76" si="515">IF(F76=0,0,ABS(E76/F76))</f>
        <v>0.45054079058905222</v>
      </c>
      <c r="H76">
        <f t="shared" ref="H76" si="516">ABS((B76-C76)/B76)</f>
        <v>0.11638622458823711</v>
      </c>
      <c r="I76">
        <f t="shared" ref="I76" si="517">(B76-C76)^2</f>
        <v>70046.119656604162</v>
      </c>
    </row>
    <row r="77" spans="1:9" x14ac:dyDescent="0.45">
      <c r="A77">
        <v>76</v>
      </c>
      <c r="B77" s="1">
        <v>2916</v>
      </c>
      <c r="C77" s="1">
        <f t="shared" ref="C77" si="518">C76+G76*(B76-C76)</f>
        <v>2419.4211242250658</v>
      </c>
      <c r="D77" s="1">
        <f t="shared" ref="D77" si="519">B77-C77</f>
        <v>496.5788757749342</v>
      </c>
      <c r="E77">
        <f t="shared" ref="E77" si="520">gamma*(D76-E76)+E76</f>
        <v>61.09732420780297</v>
      </c>
      <c r="F77">
        <f t="shared" ref="F77" si="521">gamma*(ABS(D76)-F76)+F76</f>
        <v>261.31532700610114</v>
      </c>
      <c r="G77">
        <f t="shared" ref="G77" si="522">IF(F77=0,0,ABS(E77/F77))</f>
        <v>0.2338068911142609</v>
      </c>
      <c r="H77">
        <f t="shared" ref="H77" si="523">ABS((B77-C77)/B77)</f>
        <v>0.17029453901746716</v>
      </c>
      <c r="I77">
        <f t="shared" ref="I77" si="524">(B77-C77)^2</f>
        <v>246590.57986589754</v>
      </c>
    </row>
    <row r="78" spans="1:9" x14ac:dyDescent="0.45">
      <c r="A78">
        <v>77</v>
      </c>
      <c r="B78" s="1">
        <v>2569.1999999999998</v>
      </c>
      <c r="C78" s="1">
        <f t="shared" ref="C78" si="525">C77+G77*(B77-C77)</f>
        <v>2535.5246873630181</v>
      </c>
      <c r="D78" s="1">
        <f t="shared" ref="D78" si="526">B78-C78</f>
        <v>33.675312636981744</v>
      </c>
      <c r="E78">
        <f t="shared" ref="E78" si="527">gamma*(D77-E77)+E77</f>
        <v>125.34234926283627</v>
      </c>
      <c r="F78">
        <f t="shared" ref="F78" si="528">gamma*(ABS(D77)-F77)+F77</f>
        <v>296.02291112946614</v>
      </c>
      <c r="G78">
        <f t="shared" ref="G78" si="529">IF(F78=0,0,ABS(E78/F78))</f>
        <v>0.42342110880741107</v>
      </c>
      <c r="H78">
        <f t="shared" ref="H78" si="530">ABS((B78-C78)/B78)</f>
        <v>1.3107314587023878E-2</v>
      </c>
      <c r="I78">
        <f t="shared" ref="I78" si="531">(B78-C78)^2</f>
        <v>1134.0266811984623</v>
      </c>
    </row>
    <row r="79" spans="1:9" x14ac:dyDescent="0.45">
      <c r="A79">
        <v>78</v>
      </c>
      <c r="B79" s="1">
        <v>2727.6</v>
      </c>
      <c r="C79" s="1">
        <f t="shared" ref="C79" si="532">C78+G78*(B78-C78)</f>
        <v>2549.7835255792052</v>
      </c>
      <c r="D79" s="1">
        <f t="shared" ref="D79" si="533">B79-C79</f>
        <v>177.81647442079475</v>
      </c>
      <c r="E79">
        <f t="shared" ref="E79" si="534">gamma*(D78-E78)+E78</f>
        <v>111.81904145896746</v>
      </c>
      <c r="F79">
        <f t="shared" ref="F79" si="535">gamma*(ABS(D78)-F78)+F78</f>
        <v>257.31971468492219</v>
      </c>
      <c r="G79">
        <f t="shared" ref="G79" si="536">IF(F79=0,0,ABS(E79/F79))</f>
        <v>0.43455295135814004</v>
      </c>
      <c r="H79">
        <f t="shared" ref="H79" si="537">ABS((B79-C79)/B79)</f>
        <v>6.5191550968175235E-2</v>
      </c>
      <c r="I79">
        <f t="shared" ref="I79" si="538">(B79-C79)^2</f>
        <v>31618.698575441154</v>
      </c>
    </row>
    <row r="80" spans="1:9" x14ac:dyDescent="0.45">
      <c r="A80">
        <v>79</v>
      </c>
      <c r="B80" s="1">
        <v>2744.4</v>
      </c>
      <c r="C80" s="1">
        <f t="shared" ref="C80" si="539">C79+G79*(B79-C79)</f>
        <v>2627.0541993388606</v>
      </c>
      <c r="D80" s="1">
        <f t="shared" ref="D80" si="540">B80-C80</f>
        <v>117.34580066113949</v>
      </c>
      <c r="E80">
        <f t="shared" ref="E80" si="541">gamma*(D79-E79)+E79</f>
        <v>121.55540507515812</v>
      </c>
      <c r="F80">
        <f t="shared" ref="F80" si="542">gamma*(ABS(D79)-F79)+F79</f>
        <v>245.59088795427289</v>
      </c>
      <c r="G80">
        <f t="shared" ref="G80" si="543">IF(F80=0,0,ABS(E80/F80))</f>
        <v>0.49495079433806516</v>
      </c>
      <c r="H80">
        <f t="shared" ref="H80" si="544">ABS((B80-C80)/B80)</f>
        <v>4.275827162991528E-2</v>
      </c>
      <c r="I80">
        <f t="shared" ref="I80" si="545">(B80-C80)^2</f>
        <v>13770.036932803885</v>
      </c>
    </row>
    <row r="81" spans="1:9" x14ac:dyDescent="0.45">
      <c r="A81">
        <v>80</v>
      </c>
      <c r="B81" s="1">
        <v>2062.7999999999997</v>
      </c>
      <c r="C81" s="1">
        <f t="shared" ref="C81" si="546">C80+G80*(B80-C80)</f>
        <v>2685.1345965883279</v>
      </c>
      <c r="D81" s="1">
        <f t="shared" ref="D81" si="547">B81-C81</f>
        <v>-622.33459658832817</v>
      </c>
      <c r="E81">
        <f t="shared" ref="E81" si="548">gamma*(D80-E80)+E80</f>
        <v>120.93437729550323</v>
      </c>
      <c r="F81">
        <f t="shared" ref="F81" si="549">gamma*(ABS(D80)-F80)+F80</f>
        <v>226.67135205962273</v>
      </c>
      <c r="G81">
        <f t="shared" ref="G81" si="550">IF(F81=0,0,ABS(E81/F81))</f>
        <v>0.53352298910580076</v>
      </c>
      <c r="H81">
        <f t="shared" ref="H81" si="551">ABS((B81-C81)/B81)</f>
        <v>0.30169410344596093</v>
      </c>
      <c r="I81">
        <f t="shared" ref="I81" si="552">(B81-C81)^2</f>
        <v>387300.35011075716</v>
      </c>
    </row>
    <row r="82" spans="1:9" x14ac:dyDescent="0.45">
      <c r="A82">
        <v>81</v>
      </c>
      <c r="B82" s="1">
        <v>2218.7999999999997</v>
      </c>
      <c r="C82" s="1">
        <f t="shared" ref="C82" si="553">C81+G81*(B81-C81)</f>
        <v>2353.1047823925705</v>
      </c>
      <c r="D82" s="1">
        <f t="shared" ref="D82" si="554">B82-C82</f>
        <v>-134.30478239257081</v>
      </c>
      <c r="E82">
        <f t="shared" ref="E82" si="555">gamma*(D81-E81)+E81</f>
        <v>11.282582224146282</v>
      </c>
      <c r="F82">
        <f t="shared" ref="F82" si="556">gamma*(ABS(D81)-F81)+F81</f>
        <v>285.04212567018737</v>
      </c>
      <c r="G82">
        <f t="shared" ref="G82" si="557">IF(F82=0,0,ABS(E82/F82))</f>
        <v>3.9582157190340972E-2</v>
      </c>
      <c r="H82">
        <f t="shared" ref="H82" si="558">ABS((B82-C82)/B82)</f>
        <v>6.0530368844677676E-2</v>
      </c>
      <c r="I82">
        <f t="shared" ref="I82" si="559">(B82-C82)^2</f>
        <v>18037.774573515799</v>
      </c>
    </row>
    <row r="83" spans="1:9" x14ac:dyDescent="0.45">
      <c r="A83">
        <v>82</v>
      </c>
      <c r="B83" s="1">
        <v>2696.4</v>
      </c>
      <c r="C83" s="1">
        <f t="shared" ref="C83" si="560">C82+G82*(B82-C82)</f>
        <v>2347.7887093844934</v>
      </c>
      <c r="D83" s="1">
        <f t="shared" ref="D83" si="561">B83-C83</f>
        <v>348.61129061550673</v>
      </c>
      <c r="E83">
        <f t="shared" ref="E83" si="562">gamma*(D82-E82)+E82</f>
        <v>-10.195397391381501</v>
      </c>
      <c r="F83">
        <f t="shared" ref="F83" si="563">gamma*(ABS(D82)-F82)+F82</f>
        <v>262.80438824881975</v>
      </c>
      <c r="G83">
        <f t="shared" ref="G83" si="564">IF(F83=0,0,ABS(E83/F83))</f>
        <v>3.8794623861944925E-2</v>
      </c>
      <c r="H83">
        <f t="shared" ref="H83" si="565">ABS((B83-C83)/B83)</f>
        <v>0.12928767638907682</v>
      </c>
      <c r="I83">
        <f t="shared" ref="I83" si="566">(B83-C83)^2</f>
        <v>121529.83194460929</v>
      </c>
    </row>
    <row r="84" spans="1:9" x14ac:dyDescent="0.45">
      <c r="A84">
        <v>83</v>
      </c>
      <c r="B84" s="1">
        <v>2526</v>
      </c>
      <c r="C84" s="1">
        <f t="shared" ref="C84" si="567">C83+G83*(B83-C83)</f>
        <v>2361.312953277949</v>
      </c>
      <c r="D84" s="1">
        <f t="shared" ref="D84" si="568">B84-C84</f>
        <v>164.68704672205104</v>
      </c>
      <c r="E84">
        <f t="shared" ref="E84" si="569">gamma*(D83-E83)+E83</f>
        <v>42.738061162631567</v>
      </c>
      <c r="F84">
        <f t="shared" ref="F84" si="570">gamma*(ABS(D83)-F83)+F83</f>
        <v>275.46317154883468</v>
      </c>
      <c r="G84">
        <f t="shared" ref="G84" si="571">IF(F84=0,0,ABS(E84/F84))</f>
        <v>0.15514981883904896</v>
      </c>
      <c r="H84">
        <f t="shared" ref="H84" si="572">ABS((B84-C84)/B84)</f>
        <v>6.5196772257344035E-2</v>
      </c>
      <c r="I84">
        <f t="shared" ref="I84" si="573">(B84-C84)^2</f>
        <v>27121.823358031023</v>
      </c>
    </row>
    <row r="85" spans="1:9" x14ac:dyDescent="0.45">
      <c r="A85">
        <v>84</v>
      </c>
      <c r="B85" s="1">
        <v>2016</v>
      </c>
      <c r="C85" s="1">
        <f t="shared" ref="C85" si="574">C84+G84*(B84-C84)</f>
        <v>2386.864118742013</v>
      </c>
      <c r="D85" s="1">
        <f t="shared" ref="D85" si="575">B85-C85</f>
        <v>-370.86411874201303</v>
      </c>
      <c r="E85">
        <f t="shared" ref="E85" si="576">gamma*(D84-E84)+E84</f>
        <v>60.728755841905624</v>
      </c>
      <c r="F85">
        <f t="shared" ref="F85" si="577">gamma*(ABS(D84)-F84)+F84</f>
        <v>259.12076877795835</v>
      </c>
      <c r="G85">
        <f t="shared" ref="G85" si="578">IF(F85=0,0,ABS(E85/F85))</f>
        <v>0.23436467917376527</v>
      </c>
      <c r="H85">
        <f t="shared" ref="H85" si="579">ABS((B85-C85)/B85)</f>
        <v>0.18396037636012552</v>
      </c>
      <c r="I85">
        <f t="shared" ref="I85" si="580">(B85-C85)^2</f>
        <v>137540.19457028995</v>
      </c>
    </row>
    <row r="86" spans="1:9" x14ac:dyDescent="0.45">
      <c r="A86">
        <v>85</v>
      </c>
      <c r="B86" s="1">
        <v>2952</v>
      </c>
      <c r="C86" s="1">
        <f t="shared" ref="C86" si="581">C85+G85*(B85-C85)</f>
        <v>2299.9466685359798</v>
      </c>
      <c r="D86" s="1">
        <f t="shared" ref="D86" si="582">B86-C86</f>
        <v>652.05333146402018</v>
      </c>
      <c r="E86">
        <f t="shared" ref="E86" si="583">gamma*(D85-E85)+E85</f>
        <v>-2.942586701621984</v>
      </c>
      <c r="F86">
        <f t="shared" ref="F86" si="584">gamma*(ABS(D85)-F85)+F85</f>
        <v>275.60586279018401</v>
      </c>
      <c r="G86">
        <f t="shared" ref="G86" si="585">IF(F86=0,0,ABS(E86/F86))</f>
        <v>1.0676792836813293E-2</v>
      </c>
      <c r="H86">
        <f t="shared" ref="H86" si="586">ABS((B86-C86)/B86)</f>
        <v>0.2208852748861857</v>
      </c>
      <c r="I86">
        <f t="shared" ref="I86" si="587">(B86-C86)^2</f>
        <v>425173.54707332735</v>
      </c>
    </row>
    <row r="87" spans="1:9" x14ac:dyDescent="0.45">
      <c r="A87">
        <v>86</v>
      </c>
      <c r="B87" s="1">
        <v>2457.6</v>
      </c>
      <c r="C87" s="1">
        <f t="shared" ref="C87" si="588">C86+G86*(B86-C86)</f>
        <v>2306.9085068745753</v>
      </c>
      <c r="D87" s="1">
        <f t="shared" ref="D87" si="589">B87-C87</f>
        <v>150.69149312542459</v>
      </c>
      <c r="E87">
        <f t="shared" ref="E87" si="590">gamma*(D86-E86)+E86</f>
        <v>93.686602346836196</v>
      </c>
      <c r="F87">
        <f t="shared" ref="F87" si="591">gamma*(ABS(D86)-F86)+F86</f>
        <v>331.14180218835679</v>
      </c>
      <c r="G87">
        <f t="shared" ref="G87" si="592">IF(F87=0,0,ABS(E87/F87))</f>
        <v>0.28291989029384551</v>
      </c>
      <c r="H87">
        <f t="shared" ref="H87" si="593">ABS((B87-C87)/B87)</f>
        <v>6.1316525523040608E-2</v>
      </c>
      <c r="I87">
        <f t="shared" ref="I87" si="594">(B87-C87)^2</f>
        <v>22707.926100369885</v>
      </c>
    </row>
    <row r="88" spans="1:9" x14ac:dyDescent="0.45">
      <c r="A88">
        <v>87</v>
      </c>
      <c r="B88" s="1">
        <v>2907.6</v>
      </c>
      <c r="C88" s="1">
        <f t="shared" ref="C88" si="595">C87+G87*(B87-C87)</f>
        <v>2349.5421275778363</v>
      </c>
      <c r="D88" s="1">
        <f t="shared" ref="D88" si="596">B88-C88</f>
        <v>558.05787242216365</v>
      </c>
      <c r="E88">
        <f t="shared" ref="E88" si="597">gamma*(D87-E87)+E87</f>
        <v>102.09632859850106</v>
      </c>
      <c r="F88">
        <f t="shared" ref="F88" si="598">gamma*(ABS(D87)-F87)+F87</f>
        <v>304.52061792643411</v>
      </c>
      <c r="G88">
        <f t="shared" ref="G88" si="599">IF(F88=0,0,ABS(E88/F88))</f>
        <v>0.33526901821526389</v>
      </c>
      <c r="H88">
        <f t="shared" ref="H88" si="600">ABS((B88-C88)/B88)</f>
        <v>0.19193075815867508</v>
      </c>
      <c r="I88">
        <f t="shared" ref="I88" si="601">(B88-C88)^2</f>
        <v>311428.58897235186</v>
      </c>
    </row>
    <row r="89" spans="1:9" x14ac:dyDescent="0.45">
      <c r="A89">
        <v>88</v>
      </c>
      <c r="B89" s="1">
        <v>1694.0000000000002</v>
      </c>
      <c r="C89" s="1">
        <f t="shared" ref="C89" si="602">C88+G88*(B88-C88)</f>
        <v>2536.6416425721141</v>
      </c>
      <c r="D89" s="1">
        <f t="shared" ref="D89" si="603">B89-C89</f>
        <v>-842.64164257211382</v>
      </c>
      <c r="E89">
        <f t="shared" ref="E89" si="604">gamma*(D88-E88)+E88</f>
        <v>169.36269315899196</v>
      </c>
      <c r="F89">
        <f t="shared" ref="F89" si="605">gamma*(ABS(D88)-F88)+F88</f>
        <v>341.9240560487757</v>
      </c>
      <c r="G89">
        <f t="shared" ref="G89" si="606">IF(F89=0,0,ABS(E89/F89))</f>
        <v>0.49532254359673439</v>
      </c>
      <c r="H89">
        <f t="shared" ref="H89" si="607">ABS((B89-C89)/B89)</f>
        <v>0.49742717979463619</v>
      </c>
      <c r="I89">
        <f t="shared" ref="I89" si="608">(B89-C89)^2</f>
        <v>710044.93779663008</v>
      </c>
    </row>
    <row r="90" spans="1:9" x14ac:dyDescent="0.45">
      <c r="A90">
        <v>89</v>
      </c>
      <c r="B90" s="1">
        <v>2560.8000000000002</v>
      </c>
      <c r="C90" s="1">
        <f t="shared" ref="C90" si="609">C89+G89*(B89-C89)</f>
        <v>2119.2622408327643</v>
      </c>
      <c r="D90" s="1">
        <f t="shared" ref="D90" si="610">B90-C90</f>
        <v>441.53775916723589</v>
      </c>
      <c r="E90">
        <f t="shared" ref="E90" si="611">gamma*(D89-E89)+E89</f>
        <v>20.065337918847661</v>
      </c>
      <c r="F90">
        <f t="shared" ref="F90" si="612">gamma*(ABS(D89)-F89)+F89</f>
        <v>415.79311841416211</v>
      </c>
      <c r="G90">
        <f t="shared" ref="G90" si="613">IF(F90=0,0,ABS(E90/F90))</f>
        <v>4.8257984632783246E-2</v>
      </c>
      <c r="H90">
        <f t="shared" ref="H90" si="614">ABS((B90-C90)/B90)</f>
        <v>0.17242180536052634</v>
      </c>
      <c r="I90">
        <f t="shared" ref="I90" si="615">(B90-C90)^2</f>
        <v>194955.592770424</v>
      </c>
    </row>
    <row r="91" spans="1:9" x14ac:dyDescent="0.45">
      <c r="A91">
        <v>90</v>
      </c>
      <c r="B91" s="1">
        <v>1687.4</v>
      </c>
      <c r="C91" s="1">
        <f t="shared" ref="C91" si="616">C90+G90*(B90-C90)</f>
        <v>2140.5699632294504</v>
      </c>
      <c r="D91" s="1">
        <f t="shared" ref="D91" si="617">B91-C91</f>
        <v>-453.16996322945033</v>
      </c>
      <c r="E91">
        <f t="shared" ref="E91" si="618">gamma*(D90-E90)+E90</f>
        <v>82.243646427363529</v>
      </c>
      <c r="F91">
        <f t="shared" ref="F91" si="619">gamma*(ABS(D90)-F90)+F90</f>
        <v>419.59113255336518</v>
      </c>
      <c r="G91">
        <f t="shared" ref="G91" si="620">IF(F91=0,0,ABS(E91/F91))</f>
        <v>0.19600901936816664</v>
      </c>
      <c r="H91">
        <f t="shared" ref="H91" si="621">ABS((B91-C91)/B91)</f>
        <v>0.26856107812578539</v>
      </c>
      <c r="I91">
        <f t="shared" ref="I91" si="622">(B91-C91)^2</f>
        <v>205363.01557338136</v>
      </c>
    </row>
    <row r="92" spans="1:9" x14ac:dyDescent="0.45">
      <c r="A92">
        <v>91</v>
      </c>
      <c r="B92" s="1">
        <v>1772.1000000000001</v>
      </c>
      <c r="C92" s="1">
        <f t="shared" ref="C92" si="623">C91+G91*(B91-C91)</f>
        <v>2051.7445631297378</v>
      </c>
      <c r="D92" s="1">
        <f t="shared" ref="D92" si="624">B92-C92</f>
        <v>-279.64456312973766</v>
      </c>
      <c r="E92">
        <f t="shared" ref="E92" si="625">gamma*(D91-E91)+E91</f>
        <v>3.256004715736907</v>
      </c>
      <c r="F92">
        <f t="shared" ref="F92" si="626">gamma*(ABS(D91)-F91)+F91</f>
        <v>424.54489651957823</v>
      </c>
      <c r="G92">
        <f t="shared" ref="G92" si="627">IF(F92=0,0,ABS(E92/F92))</f>
        <v>7.6694002034405654E-3</v>
      </c>
      <c r="H92">
        <f t="shared" ref="H92" si="628">ABS((B92-C92)/B92)</f>
        <v>0.15780405345620316</v>
      </c>
      <c r="I92">
        <f t="shared" ref="I92" si="629">(B92-C92)^2</f>
        <v>78201.081688021834</v>
      </c>
    </row>
    <row r="93" spans="1:9" x14ac:dyDescent="0.45">
      <c r="A93">
        <v>92</v>
      </c>
      <c r="B93" s="1">
        <v>1855</v>
      </c>
      <c r="C93" s="1">
        <f t="shared" ref="C93" si="630">C92+G92*(B92-C92)</f>
        <v>2049.5998570603797</v>
      </c>
      <c r="D93" s="1">
        <f t="shared" ref="D93" si="631">B93-C93</f>
        <v>-194.59985706037969</v>
      </c>
      <c r="E93">
        <f t="shared" ref="E93" si="632">gamma*(D92-E92)+E92</f>
        <v>-38.479297282501513</v>
      </c>
      <c r="F93">
        <f t="shared" ref="F93" si="633">gamma*(ABS(D92)-F92)+F92</f>
        <v>403.16827214682809</v>
      </c>
      <c r="G93">
        <f t="shared" ref="G93" si="634">IF(F93=0,0,ABS(E93/F93))</f>
        <v>9.5442275448917036E-2</v>
      </c>
      <c r="H93">
        <f t="shared" ref="H93" si="635">ABS((B93-C93)/B93)</f>
        <v>0.10490558332095941</v>
      </c>
      <c r="I93">
        <f t="shared" ref="I93" si="636">(B93-C93)^2</f>
        <v>37869.104367920205</v>
      </c>
    </row>
    <row r="94" spans="1:9" x14ac:dyDescent="0.45">
      <c r="A94">
        <v>93</v>
      </c>
      <c r="B94" s="1">
        <v>2068</v>
      </c>
      <c r="C94" s="1">
        <f t="shared" ref="C94" si="637">C93+G93*(B93-C93)</f>
        <v>2031.026803900503</v>
      </c>
      <c r="D94" s="1">
        <f t="shared" ref="D94" si="638">B94-C94</f>
        <v>36.973196099497045</v>
      </c>
      <c r="E94">
        <f t="shared" ref="E94" si="639">gamma*(D93-E93)+E93</f>
        <v>-61.511201248218526</v>
      </c>
      <c r="F94">
        <f t="shared" ref="F94" si="640">gamma*(ABS(D93)-F93)+F93</f>
        <v>372.39892496163077</v>
      </c>
      <c r="G94">
        <f t="shared" ref="G94" si="641">IF(F94=0,0,ABS(E94/F94))</f>
        <v>0.16517556073653056</v>
      </c>
      <c r="H94">
        <f t="shared" ref="H94" si="642">ABS((B94-C94)/B94)</f>
        <v>1.7878721518132034E-2</v>
      </c>
      <c r="I94">
        <f t="shared" ref="I94" si="643">(B94-C94)^2</f>
        <v>1367.0172298118634</v>
      </c>
    </row>
    <row r="95" spans="1:9" x14ac:dyDescent="0.45">
      <c r="A95">
        <v>94</v>
      </c>
      <c r="B95" s="1">
        <v>2169.9</v>
      </c>
      <c r="C95" s="1">
        <f t="shared" ref="C95" si="644">C94+G94*(B94-C94)</f>
        <v>2037.133872298459</v>
      </c>
      <c r="D95" s="1">
        <f t="shared" ref="D95" si="645">B95-C95</f>
        <v>132.76612770154111</v>
      </c>
      <c r="E95">
        <f t="shared" ref="E95" si="646">gamma*(D94-E94)+E94</f>
        <v>-46.98215276759997</v>
      </c>
      <c r="F95">
        <f t="shared" ref="F95" si="647">gamma*(ABS(D94)-F94)+F94</f>
        <v>322.9147751111895</v>
      </c>
      <c r="G95">
        <f t="shared" ref="G95" si="648">IF(F95=0,0,ABS(E95/F95))</f>
        <v>0.14549397051101973</v>
      </c>
      <c r="H95">
        <f t="shared" ref="H95" si="649">ABS((B95-C95)/B95)</f>
        <v>6.1185366930061803E-2</v>
      </c>
      <c r="I95">
        <f t="shared" ref="I95" si="650">(B95-C95)^2</f>
        <v>17626.844664861921</v>
      </c>
    </row>
    <row r="96" spans="1:9" x14ac:dyDescent="0.45">
      <c r="A96">
        <v>95</v>
      </c>
      <c r="B96" s="1">
        <v>1863.9</v>
      </c>
      <c r="C96" s="1">
        <f t="shared" ref="C96" si="651">C95+G95*(B95-C95)</f>
        <v>2056.4505433671293</v>
      </c>
      <c r="D96" s="1">
        <f t="shared" ref="D96" si="652">B96-C96</f>
        <v>-192.55054336712919</v>
      </c>
      <c r="E96">
        <f t="shared" ref="E96" si="653">gamma*(D95-E95)+E95</f>
        <v>-20.464536255987628</v>
      </c>
      <c r="F96">
        <f t="shared" ref="F96" si="654">gamma*(ABS(D95)-F95)+F95</f>
        <v>294.86282991844257</v>
      </c>
      <c r="G96">
        <f t="shared" ref="G96" si="655">IF(F96=0,0,ABS(E96/F96))</f>
        <v>6.9403580850282171E-2</v>
      </c>
      <c r="H96">
        <f t="shared" ref="H96" si="656">ABS((B96-C96)/B96)</f>
        <v>0.10330518985306572</v>
      </c>
      <c r="I96">
        <f t="shared" ref="I96" si="657">(B96-C96)^2</f>
        <v>37075.711750976698</v>
      </c>
    </row>
    <row r="97" spans="1:9" x14ac:dyDescent="0.45">
      <c r="A97">
        <v>96</v>
      </c>
      <c r="B97" s="1">
        <v>1507.5</v>
      </c>
      <c r="C97" s="1">
        <f t="shared" ref="C97" si="658">C96+G96*(B96-C96)</f>
        <v>2043.0868461627829</v>
      </c>
      <c r="D97" s="1">
        <f t="shared" ref="D97" si="659">B97-C97</f>
        <v>-535.58684616278288</v>
      </c>
      <c r="E97">
        <f t="shared" ref="E97" si="660">gamma*(D96-E96)+E96</f>
        <v>-45.851765172323596</v>
      </c>
      <c r="F97">
        <f t="shared" ref="F97" si="661">gamma*(ABS(D96)-F96)+F96</f>
        <v>279.76906672853715</v>
      </c>
      <c r="G97">
        <f t="shared" ref="G97" si="662">IF(F97=0,0,ABS(E97/F97))</f>
        <v>0.16389147559624254</v>
      </c>
      <c r="H97">
        <f t="shared" ref="H97" si="663">ABS((B97-C97)/B97)</f>
        <v>0.35528148999189579</v>
      </c>
      <c r="I97">
        <f t="shared" ref="I97" si="664">(B97-C97)^2</f>
        <v>286853.26978259644</v>
      </c>
    </row>
    <row r="98" spans="1:9" x14ac:dyDescent="0.45">
      <c r="A98">
        <v>97</v>
      </c>
      <c r="B98" s="1">
        <v>1621.8</v>
      </c>
      <c r="C98" s="1">
        <f t="shared" ref="C98" si="665">C97+G97*(B97-C97)</f>
        <v>1955.3087276352267</v>
      </c>
      <c r="D98" s="1">
        <f t="shared" ref="D98" si="666">B98-C98</f>
        <v>-333.50872763522671</v>
      </c>
      <c r="E98">
        <f t="shared" ref="E98" si="667">gamma*(D97-E97)+E97</f>
        <v>-118.10061804642901</v>
      </c>
      <c r="F98">
        <f t="shared" ref="F98" si="668">gamma*(ABS(D97)-F97)+F97</f>
        <v>317.50894248247613</v>
      </c>
      <c r="G98">
        <f t="shared" ref="G98" si="669">IF(F98=0,0,ABS(E98/F98))</f>
        <v>0.37195997417599408</v>
      </c>
      <c r="H98">
        <f t="shared" ref="H98" si="670">ABS((B98-C98)/B98)</f>
        <v>0.20564109485462245</v>
      </c>
      <c r="I98">
        <f t="shared" ref="I98" si="671">(B98-C98)^2</f>
        <v>111228.07140886784</v>
      </c>
    </row>
    <row r="99" spans="1:9" x14ac:dyDescent="0.45">
      <c r="A99">
        <v>98</v>
      </c>
      <c r="B99" s="1">
        <v>1635.3</v>
      </c>
      <c r="C99" s="1">
        <f t="shared" ref="C99" si="672">C98+G98*(B98-C98)</f>
        <v>1831.2568299165591</v>
      </c>
      <c r="D99" s="1">
        <f t="shared" ref="D99" si="673">B99-C99</f>
        <v>-195.95682991655917</v>
      </c>
      <c r="E99">
        <f t="shared" ref="E99" si="674">gamma*(D98-E98)+E98</f>
        <v>-149.87900073058353</v>
      </c>
      <c r="F99">
        <f t="shared" ref="F99" si="675">gamma*(ABS(D98)-F98)+F98</f>
        <v>319.86933316794733</v>
      </c>
      <c r="G99">
        <f t="shared" ref="G99" si="676">IF(F99=0,0,ABS(E99/F99))</f>
        <v>0.46856320750163816</v>
      </c>
      <c r="H99">
        <f t="shared" ref="H99" si="677">ABS((B99-C99)/B99)</f>
        <v>0.11982928509543153</v>
      </c>
      <c r="I99">
        <f t="shared" ref="I99" si="678">(B99-C99)^2</f>
        <v>38399.079190947297</v>
      </c>
    </row>
    <row r="100" spans="1:9" x14ac:dyDescent="0.45">
      <c r="A100">
        <v>99</v>
      </c>
      <c r="B100" s="1">
        <v>1503</v>
      </c>
      <c r="C100" s="1">
        <f t="shared" ref="C100" si="679">C99+G99*(B99-C99)</f>
        <v>1739.4386691590032</v>
      </c>
      <c r="D100" s="1">
        <f t="shared" ref="D100" si="680">B100-C100</f>
        <v>-236.43866915900321</v>
      </c>
      <c r="E100">
        <f t="shared" ref="E100" si="681">gamma*(D99-E99)+E99</f>
        <v>-156.67669693581121</v>
      </c>
      <c r="F100">
        <f t="shared" ref="F100" si="682">gamma*(ABS(D99)-F99)+F99</f>
        <v>301.58896779455876</v>
      </c>
      <c r="G100">
        <f t="shared" ref="G100" si="683">IF(F100=0,0,ABS(E100/F100))</f>
        <v>0.51950407231917972</v>
      </c>
      <c r="H100">
        <f t="shared" ref="H100" si="684">ABS((B100-C100)/B100)</f>
        <v>0.15731115712508531</v>
      </c>
      <c r="I100">
        <f t="shared" ref="I100" si="685">(B100-C100)^2</f>
        <v>55903.244273680575</v>
      </c>
    </row>
    <row r="101" spans="1:9" x14ac:dyDescent="0.45">
      <c r="A101">
        <v>100</v>
      </c>
      <c r="B101" s="1">
        <v>1799.1000000000001</v>
      </c>
      <c r="C101" s="1">
        <f t="shared" ref="C101" si="686">C100+G100*(B100-C100)</f>
        <v>1616.6078176771739</v>
      </c>
      <c r="D101" s="1">
        <f t="shared" ref="D101" si="687">B101-C101</f>
        <v>182.49218232282624</v>
      </c>
      <c r="E101">
        <f t="shared" ref="E101" si="688">gamma*(D100-E100)+E100</f>
        <v>-168.44369346064082</v>
      </c>
      <c r="F101">
        <f t="shared" ref="F101" si="689">gamma*(ABS(D100)-F100)+F100</f>
        <v>291.97757885483935</v>
      </c>
      <c r="G101">
        <f t="shared" ref="G101" si="690">IF(F101=0,0,ABS(E101/F101))</f>
        <v>0.57690626150573332</v>
      </c>
      <c r="H101">
        <f t="shared" ref="H101" si="691">ABS((B101-C101)/B101)</f>
        <v>0.10143526336658674</v>
      </c>
      <c r="I101">
        <f t="shared" ref="I101" si="692">(B101-C101)^2</f>
        <v>33303.396608947653</v>
      </c>
    </row>
    <row r="102" spans="1:9" x14ac:dyDescent="0.45">
      <c r="A102">
        <v>101</v>
      </c>
      <c r="B102" s="1">
        <v>2171.7000000000003</v>
      </c>
      <c r="C102" s="1">
        <f t="shared" ref="C102" si="693">C101+G101*(B101-C101)</f>
        <v>1721.8887003350583</v>
      </c>
      <c r="D102" s="1">
        <f t="shared" ref="D102" si="694">B102-C102</f>
        <v>449.811299664942</v>
      </c>
      <c r="E102">
        <f t="shared" ref="E102" si="695">gamma*(D101-E101)+E101</f>
        <v>-116.67138748973369</v>
      </c>
      <c r="F102">
        <f t="shared" ref="F102" si="696">gamma*(ABS(D101)-F101)+F101</f>
        <v>275.82559258114497</v>
      </c>
      <c r="G102">
        <f t="shared" ref="G102" si="697">IF(F102=0,0,ABS(E102/F102))</f>
        <v>0.42298971026559185</v>
      </c>
      <c r="H102">
        <f t="shared" ref="H102" si="698">ABS((B102-C102)/B102)</f>
        <v>0.20712405012890453</v>
      </c>
      <c r="I102">
        <f t="shared" ref="I102" si="699">(B102-C102)^2</f>
        <v>202330.20530626425</v>
      </c>
    </row>
    <row r="103" spans="1:9" x14ac:dyDescent="0.45">
      <c r="A103">
        <v>102</v>
      </c>
      <c r="B103" s="1">
        <v>1475.1000000000001</v>
      </c>
      <c r="C103" s="1">
        <f t="shared" ref="C103" si="700">C102+G102*(B102-C102)</f>
        <v>1912.1542516545214</v>
      </c>
      <c r="D103" s="1">
        <f t="shared" ref="D103" si="701">B103-C103</f>
        <v>-437.05425165452129</v>
      </c>
      <c r="E103">
        <f t="shared" ref="E103" si="702">gamma*(D102-E102)+E102</f>
        <v>-33.100236660203109</v>
      </c>
      <c r="F103">
        <f t="shared" ref="F103" si="703">gamma*(ABS(D102)-F102)+F102</f>
        <v>301.49307739328435</v>
      </c>
      <c r="G103">
        <f t="shared" ref="G103" si="704">IF(F103=0,0,ABS(E103/F103))</f>
        <v>0.10978771700626916</v>
      </c>
      <c r="H103">
        <f t="shared" ref="H103" si="705">ABS((B103-C103)/B103)</f>
        <v>0.29628787990951205</v>
      </c>
      <c r="I103">
        <f t="shared" ref="I103" si="706">(B103-C103)^2</f>
        <v>191016.41888929362</v>
      </c>
    </row>
    <row r="104" spans="1:9" x14ac:dyDescent="0.45">
      <c r="A104">
        <v>103</v>
      </c>
      <c r="B104" s="1">
        <v>1984.5</v>
      </c>
      <c r="C104" s="1">
        <f t="shared" ref="C104" si="707">C103+G103*(B103-C103)</f>
        <v>1864.1710631574881</v>
      </c>
      <c r="D104" s="1">
        <f t="shared" ref="D104" si="708">B104-C104</f>
        <v>120.32893684251189</v>
      </c>
      <c r="E104">
        <f t="shared" ref="E104" si="709">gamma*(D103-E103)+E103</f>
        <v>-92.694117780998766</v>
      </c>
      <c r="F104">
        <f t="shared" ref="F104" si="710">gamma*(ABS(D103)-F103)+F103</f>
        <v>321.4919292517892</v>
      </c>
      <c r="G104">
        <f t="shared" ref="G104" si="711">IF(F104=0,0,ABS(E104/F104))</f>
        <v>0.28832486711789795</v>
      </c>
      <c r="H104">
        <f t="shared" ref="H104" si="712">ABS((B104-C104)/B104)</f>
        <v>6.063438490426399E-2</v>
      </c>
      <c r="I104">
        <f t="shared" ref="I104" si="713">(B104-C104)^2</f>
        <v>14479.053041649217</v>
      </c>
    </row>
    <row r="105" spans="1:9" x14ac:dyDescent="0.45">
      <c r="A105">
        <v>104</v>
      </c>
      <c r="B105" s="1">
        <v>1476</v>
      </c>
      <c r="C105" s="1">
        <f t="shared" ref="C105:C106" si="714">C104+G104*(B104-C104)</f>
        <v>1898.8648878830434</v>
      </c>
      <c r="D105" s="1">
        <f t="shared" ref="D105" si="715">B105-C105</f>
        <v>-422.86488788304337</v>
      </c>
      <c r="E105">
        <f t="shared" ref="E105" si="716">gamma*(D104-E104)+E104</f>
        <v>-61.267593666859653</v>
      </c>
      <c r="F105">
        <f t="shared" ref="F105" si="717">gamma*(ABS(D104)-F104)+F104</f>
        <v>291.81507740589132</v>
      </c>
      <c r="G105">
        <f t="shared" ref="G105" si="718">IF(F105=0,0,ABS(E105/F105))</f>
        <v>0.20995348907774686</v>
      </c>
      <c r="H105">
        <f t="shared" ref="H105" si="719">ABS((B105-C105)/B105)</f>
        <v>0.28649382647902666</v>
      </c>
      <c r="I105">
        <f t="shared" ref="I105" si="720">(B105-C105)^2</f>
        <v>178814.71340433884</v>
      </c>
    </row>
    <row r="106" spans="1:9" x14ac:dyDescent="0.45">
      <c r="C106" s="1">
        <f t="shared" si="714"/>
        <v>1810.0829292635281</v>
      </c>
      <c r="D106" s="1"/>
    </row>
    <row r="107" spans="1:9" x14ac:dyDescent="0.45">
      <c r="C107" s="1"/>
      <c r="D107" s="1"/>
    </row>
    <row r="108" spans="1:9" x14ac:dyDescent="0.45">
      <c r="C108" s="1"/>
      <c r="D108" s="1"/>
    </row>
    <row r="109" spans="1:9" x14ac:dyDescent="0.45">
      <c r="C109" s="1"/>
      <c r="D109" s="1"/>
    </row>
    <row r="110" spans="1:9" x14ac:dyDescent="0.45">
      <c r="C110" s="1"/>
      <c r="D110" s="1"/>
    </row>
    <row r="111" spans="1:9" x14ac:dyDescent="0.45">
      <c r="C111" s="1"/>
      <c r="D111" s="1"/>
    </row>
    <row r="112" spans="1:9" x14ac:dyDescent="0.45">
      <c r="C112" s="1"/>
      <c r="D112" s="1"/>
    </row>
    <row r="113" spans="3:4" x14ac:dyDescent="0.45">
      <c r="C113" s="1"/>
      <c r="D113" s="1"/>
    </row>
    <row r="114" spans="3:4" x14ac:dyDescent="0.45">
      <c r="C114" s="1"/>
    </row>
    <row r="115" spans="3:4" x14ac:dyDescent="0.45">
      <c r="C115" s="1"/>
    </row>
    <row r="116" spans="3:4" x14ac:dyDescent="0.45">
      <c r="C116" s="1"/>
    </row>
    <row r="117" spans="3:4" x14ac:dyDescent="0.45">
      <c r="C117" s="1"/>
    </row>
    <row r="118" spans="3:4" x14ac:dyDescent="0.45">
      <c r="C118" s="1"/>
    </row>
    <row r="119" spans="3:4" x14ac:dyDescent="0.45">
      <c r="C119" s="1"/>
    </row>
    <row r="120" spans="3:4" x14ac:dyDescent="0.45">
      <c r="C120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Start</vt:lpstr>
      <vt:lpstr>Product1</vt:lpstr>
      <vt:lpstr>Error Bars</vt:lpstr>
      <vt:lpstr>calcSimple</vt:lpstr>
      <vt:lpstr>calcAdaptive</vt:lpstr>
      <vt:lpstr>alpha</vt:lpstr>
      <vt:lpstr>gamma</vt:lpstr>
      <vt:lpstr>SSE_adaptive</vt:lpstr>
      <vt:lpstr>SSE_simple</vt:lpstr>
    </vt:vector>
  </TitlesOfParts>
  <Company>____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</dc:creator>
  <cp:lastModifiedBy>Kerr</cp:lastModifiedBy>
  <dcterms:created xsi:type="dcterms:W3CDTF">2014-10-14T11:16:32Z</dcterms:created>
  <dcterms:modified xsi:type="dcterms:W3CDTF">2014-12-02T17:11:27Z</dcterms:modified>
</cp:coreProperties>
</file>