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psf\Home\GitHub\StrathclydeMSc\MS924\"/>
    </mc:Choice>
  </mc:AlternateContent>
  <bookViews>
    <workbookView showHorizontalScroll="0" showVerticalScroll="0" xWindow="0" yWindow="-23" windowWidth="28800" windowHeight="16443"/>
  </bookViews>
  <sheets>
    <sheet name="Start" sheetId="2" r:id="rId1"/>
    <sheet name="Product1" sheetId="1" r:id="rId2"/>
    <sheet name="Error Bars" sheetId="5" state="hidden" r:id="rId3"/>
    <sheet name="calcSimple" sheetId="3" state="hidden" r:id="rId4"/>
    <sheet name="calcAdaptive" sheetId="4" state="hidden" r:id="rId5"/>
  </sheets>
  <definedNames>
    <definedName name="alpha">calcSimple!$H$2</definedName>
    <definedName name="gamma">calcAdaptive!$L$2</definedName>
    <definedName name="solver_adj" localSheetId="4" hidden="1">calcAdaptive!$L$2</definedName>
    <definedName name="solver_adj" localSheetId="3" hidden="1">calcSimple!$H$2</definedName>
    <definedName name="solver_cvg" localSheetId="4" hidden="1">0.0001</definedName>
    <definedName name="solver_cvg" localSheetId="3" hidden="1">0.0001</definedName>
    <definedName name="solver_drv" localSheetId="4" hidden="1">2</definedName>
    <definedName name="solver_drv" localSheetId="3" hidden="1">1</definedName>
    <definedName name="solver_eng" localSheetId="4" hidden="1">1</definedName>
    <definedName name="solver_eng" localSheetId="3" hidden="1">1</definedName>
    <definedName name="solver_est" localSheetId="4" hidden="1">1</definedName>
    <definedName name="solver_est" localSheetId="3" hidden="1">1</definedName>
    <definedName name="solver_itr" localSheetId="4" hidden="1">2147483647</definedName>
    <definedName name="solver_itr" localSheetId="3" hidden="1">2147483647</definedName>
    <definedName name="solver_lhs1" localSheetId="4" hidden="1">calcAdaptive!$L$2</definedName>
    <definedName name="solver_lhs1" localSheetId="3" hidden="1">calcSimple!$H$2</definedName>
    <definedName name="solver_lhs10" localSheetId="4" hidden="1">calcAdaptive!$L$2</definedName>
    <definedName name="solver_lhs10" localSheetId="3" hidden="1">calcSimple!$H$2</definedName>
    <definedName name="solver_lhs100" localSheetId="4" hidden="1">calcAdaptive!$L$2</definedName>
    <definedName name="solver_lhs100" localSheetId="3" hidden="1">calcSimple!$H$2</definedName>
    <definedName name="solver_lhs101" localSheetId="4" hidden="1">calcAdaptive!$L$2</definedName>
    <definedName name="solver_lhs101" localSheetId="3" hidden="1">calcSimple!$H$2</definedName>
    <definedName name="solver_lhs102" localSheetId="4" hidden="1">calcAdaptive!$L$2</definedName>
    <definedName name="solver_lhs102" localSheetId="3" hidden="1">calcSimple!$H$2</definedName>
    <definedName name="solver_lhs103" localSheetId="4" hidden="1">calcAdaptive!$L$2</definedName>
    <definedName name="solver_lhs103" localSheetId="3" hidden="1">calcSimple!$H$2</definedName>
    <definedName name="solver_lhs104" localSheetId="4" hidden="1">calcAdaptive!$L$2</definedName>
    <definedName name="solver_lhs104" localSheetId="3" hidden="1">calcSimple!$H$2</definedName>
    <definedName name="solver_lhs105" localSheetId="4" hidden="1">calcAdaptive!$L$2</definedName>
    <definedName name="solver_lhs105" localSheetId="3" hidden="1">calcSimple!$H$2</definedName>
    <definedName name="solver_lhs106" localSheetId="4" hidden="1">calcAdaptive!$L$2</definedName>
    <definedName name="solver_lhs106" localSheetId="3" hidden="1">calcSimple!$H$2</definedName>
    <definedName name="solver_lhs107" localSheetId="4" hidden="1">calcAdaptive!$L$2</definedName>
    <definedName name="solver_lhs107" localSheetId="3" hidden="1">calcSimple!$H$2</definedName>
    <definedName name="solver_lhs108" localSheetId="4" hidden="1">calcAdaptive!$L$2</definedName>
    <definedName name="solver_lhs108" localSheetId="3" hidden="1">calcSimple!$H$2</definedName>
    <definedName name="solver_lhs109" localSheetId="4" hidden="1">calcAdaptive!$L$2</definedName>
    <definedName name="solver_lhs109" localSheetId="3" hidden="1">calcSimple!$H$2</definedName>
    <definedName name="solver_lhs11" localSheetId="4" hidden="1">calcAdaptive!$L$2</definedName>
    <definedName name="solver_lhs11" localSheetId="3" hidden="1">calcSimple!$H$2</definedName>
    <definedName name="solver_lhs110" localSheetId="4" hidden="1">calcAdaptive!$L$2</definedName>
    <definedName name="solver_lhs110" localSheetId="3" hidden="1">calcSimple!$H$2</definedName>
    <definedName name="solver_lhs111" localSheetId="4" hidden="1">calcAdaptive!$L$2</definedName>
    <definedName name="solver_lhs111" localSheetId="3" hidden="1">calcSimple!$H$2</definedName>
    <definedName name="solver_lhs112" localSheetId="4" hidden="1">calcAdaptive!$L$2</definedName>
    <definedName name="solver_lhs112" localSheetId="3" hidden="1">calcSimple!$H$2</definedName>
    <definedName name="solver_lhs113" localSheetId="4" hidden="1">calcAdaptive!$L$2</definedName>
    <definedName name="solver_lhs113" localSheetId="3" hidden="1">calcSimple!$H$2</definedName>
    <definedName name="solver_lhs114" localSheetId="4" hidden="1">calcAdaptive!$L$2</definedName>
    <definedName name="solver_lhs114" localSheetId="3" hidden="1">calcSimple!$H$2</definedName>
    <definedName name="solver_lhs115" localSheetId="4" hidden="1">calcAdaptive!$L$2</definedName>
    <definedName name="solver_lhs115" localSheetId="3" hidden="1">calcSimple!$H$2</definedName>
    <definedName name="solver_lhs116" localSheetId="4" hidden="1">calcAdaptive!$L$2</definedName>
    <definedName name="solver_lhs116" localSheetId="3" hidden="1">calcSimple!$H$2</definedName>
    <definedName name="solver_lhs117" localSheetId="4" hidden="1">calcAdaptive!$L$2</definedName>
    <definedName name="solver_lhs117" localSheetId="3" hidden="1">calcSimple!$H$2</definedName>
    <definedName name="solver_lhs118" localSheetId="4" hidden="1">calcAdaptive!$L$2</definedName>
    <definedName name="solver_lhs118" localSheetId="3" hidden="1">calcSimple!$H$2</definedName>
    <definedName name="solver_lhs119" localSheetId="4" hidden="1">calcAdaptive!$L$2</definedName>
    <definedName name="solver_lhs119" localSheetId="3" hidden="1">calcSimple!$H$2</definedName>
    <definedName name="solver_lhs12" localSheetId="4" hidden="1">calcAdaptive!$L$2</definedName>
    <definedName name="solver_lhs12" localSheetId="3" hidden="1">calcSimple!$H$2</definedName>
    <definedName name="solver_lhs120" localSheetId="4" hidden="1">calcAdaptive!$L$2</definedName>
    <definedName name="solver_lhs120" localSheetId="3" hidden="1">calcSimple!$H$2</definedName>
    <definedName name="solver_lhs121" localSheetId="4" hidden="1">calcAdaptive!$L$2</definedName>
    <definedName name="solver_lhs121" localSheetId="3" hidden="1">calcSimple!$H$2</definedName>
    <definedName name="solver_lhs122" localSheetId="4" hidden="1">calcAdaptive!$L$2</definedName>
    <definedName name="solver_lhs122" localSheetId="3" hidden="1">calcSimple!$H$2</definedName>
    <definedName name="solver_lhs123" localSheetId="4" hidden="1">calcAdaptive!$L$2</definedName>
    <definedName name="solver_lhs123" localSheetId="3" hidden="1">calcSimple!$H$2</definedName>
    <definedName name="solver_lhs124" localSheetId="4" hidden="1">calcAdaptive!$L$2</definedName>
    <definedName name="solver_lhs124" localSheetId="3" hidden="1">calcSimple!$H$2</definedName>
    <definedName name="solver_lhs125" localSheetId="4" hidden="1">calcAdaptive!$L$2</definedName>
    <definedName name="solver_lhs125" localSheetId="3" hidden="1">calcSimple!$H$2</definedName>
    <definedName name="solver_lhs126" localSheetId="4" hidden="1">calcAdaptive!$L$2</definedName>
    <definedName name="solver_lhs126" localSheetId="3" hidden="1">calcSimple!$H$2</definedName>
    <definedName name="solver_lhs127" localSheetId="4" hidden="1">calcAdaptive!$L$2</definedName>
    <definedName name="solver_lhs127" localSheetId="3" hidden="1">calcSimple!$H$2</definedName>
    <definedName name="solver_lhs128" localSheetId="4" hidden="1">calcAdaptive!$L$2</definedName>
    <definedName name="solver_lhs128" localSheetId="3" hidden="1">calcSimple!$H$2</definedName>
    <definedName name="solver_lhs129" localSheetId="4" hidden="1">calcAdaptive!$L$2</definedName>
    <definedName name="solver_lhs129" localSheetId="3" hidden="1">calcSimple!$H$2</definedName>
    <definedName name="solver_lhs13" localSheetId="4" hidden="1">calcAdaptive!$L$2</definedName>
    <definedName name="solver_lhs13" localSheetId="3" hidden="1">calcSimple!$H$2</definedName>
    <definedName name="solver_lhs130" localSheetId="4" hidden="1">calcAdaptive!$L$2</definedName>
    <definedName name="solver_lhs130" localSheetId="3" hidden="1">calcSimple!$H$2</definedName>
    <definedName name="solver_lhs131" localSheetId="4" hidden="1">calcAdaptive!$L$2</definedName>
    <definedName name="solver_lhs131" localSheetId="3" hidden="1">calcSimple!$H$2</definedName>
    <definedName name="solver_lhs132" localSheetId="4" hidden="1">calcAdaptive!$L$2</definedName>
    <definedName name="solver_lhs132" localSheetId="3" hidden="1">calcSimple!$H$2</definedName>
    <definedName name="solver_lhs133" localSheetId="4" hidden="1">calcAdaptive!$L$2</definedName>
    <definedName name="solver_lhs133" localSheetId="3" hidden="1">calcSimple!$H$2</definedName>
    <definedName name="solver_lhs134" localSheetId="4" hidden="1">calcAdaptive!$L$2</definedName>
    <definedName name="solver_lhs134" localSheetId="3" hidden="1">calcSimple!$H$2</definedName>
    <definedName name="solver_lhs135" localSheetId="4" hidden="1">calcAdaptive!$L$2</definedName>
    <definedName name="solver_lhs135" localSheetId="3" hidden="1">calcSimple!$H$2</definedName>
    <definedName name="solver_lhs136" localSheetId="4" hidden="1">calcAdaptive!$L$2</definedName>
    <definedName name="solver_lhs136" localSheetId="3" hidden="1">calcSimple!$H$2</definedName>
    <definedName name="solver_lhs137" localSheetId="4" hidden="1">calcAdaptive!$L$2</definedName>
    <definedName name="solver_lhs137" localSheetId="3" hidden="1">calcSimple!$H$2</definedName>
    <definedName name="solver_lhs138" localSheetId="4" hidden="1">calcAdaptive!$L$2</definedName>
    <definedName name="solver_lhs138" localSheetId="3" hidden="1">calcSimple!$H$2</definedName>
    <definedName name="solver_lhs139" localSheetId="4" hidden="1">calcAdaptive!$L$2</definedName>
    <definedName name="solver_lhs139" localSheetId="3" hidden="1">calcSimple!$H$2</definedName>
    <definedName name="solver_lhs14" localSheetId="4" hidden="1">calcAdaptive!$L$2</definedName>
    <definedName name="solver_lhs14" localSheetId="3" hidden="1">calcSimple!$H$2</definedName>
    <definedName name="solver_lhs140" localSheetId="4" hidden="1">calcAdaptive!$L$2</definedName>
    <definedName name="solver_lhs140" localSheetId="3" hidden="1">calcSimple!$H$2</definedName>
    <definedName name="solver_lhs141" localSheetId="4" hidden="1">calcAdaptive!$L$2</definedName>
    <definedName name="solver_lhs141" localSheetId="3" hidden="1">calcSimple!$H$2</definedName>
    <definedName name="solver_lhs142" localSheetId="4" hidden="1">calcAdaptive!$L$2</definedName>
    <definedName name="solver_lhs142" localSheetId="3" hidden="1">calcSimple!$H$2</definedName>
    <definedName name="solver_lhs143" localSheetId="4" hidden="1">calcAdaptive!$L$2</definedName>
    <definedName name="solver_lhs143" localSheetId="3" hidden="1">calcSimple!$H$2</definedName>
    <definedName name="solver_lhs144" localSheetId="4" hidden="1">calcAdaptive!$L$2</definedName>
    <definedName name="solver_lhs144" localSheetId="3" hidden="1">calcSimple!$H$2</definedName>
    <definedName name="solver_lhs145" localSheetId="4" hidden="1">calcAdaptive!$L$2</definedName>
    <definedName name="solver_lhs145" localSheetId="3" hidden="1">calcSimple!$H$2</definedName>
    <definedName name="solver_lhs146" localSheetId="4" hidden="1">calcAdaptive!$L$2</definedName>
    <definedName name="solver_lhs146" localSheetId="3" hidden="1">calcSimple!$H$2</definedName>
    <definedName name="solver_lhs147" localSheetId="4" hidden="1">calcAdaptive!$L$2</definedName>
    <definedName name="solver_lhs147" localSheetId="3" hidden="1">calcSimple!$H$2</definedName>
    <definedName name="solver_lhs148" localSheetId="4" hidden="1">calcAdaptive!$L$2</definedName>
    <definedName name="solver_lhs148" localSheetId="3" hidden="1">calcSimple!$H$2</definedName>
    <definedName name="solver_lhs149" localSheetId="4" hidden="1">calcAdaptive!$L$2</definedName>
    <definedName name="solver_lhs149" localSheetId="3" hidden="1">calcSimple!$H$2</definedName>
    <definedName name="solver_lhs15" localSheetId="4" hidden="1">calcAdaptive!$L$2</definedName>
    <definedName name="solver_lhs15" localSheetId="3" hidden="1">calcSimple!$H$2</definedName>
    <definedName name="solver_lhs150" localSheetId="4" hidden="1">calcAdaptive!$L$2</definedName>
    <definedName name="solver_lhs150" localSheetId="3" hidden="1">calcSimple!$H$2</definedName>
    <definedName name="solver_lhs151" localSheetId="4" hidden="1">calcAdaptive!$L$2</definedName>
    <definedName name="solver_lhs151" localSheetId="3" hidden="1">calcSimple!$H$2</definedName>
    <definedName name="solver_lhs152" localSheetId="4" hidden="1">calcAdaptive!$L$2</definedName>
    <definedName name="solver_lhs152" localSheetId="3" hidden="1">calcSimple!$H$2</definedName>
    <definedName name="solver_lhs153" localSheetId="4" hidden="1">calcAdaptive!$L$2</definedName>
    <definedName name="solver_lhs153" localSheetId="3" hidden="1">calcSimple!$H$2</definedName>
    <definedName name="solver_lhs154" localSheetId="4" hidden="1">calcAdaptive!$L$2</definedName>
    <definedName name="solver_lhs154" localSheetId="3" hidden="1">calcSimple!$H$2</definedName>
    <definedName name="solver_lhs155" localSheetId="4" hidden="1">calcAdaptive!$L$2</definedName>
    <definedName name="solver_lhs155" localSheetId="3" hidden="1">calcSimple!$H$2</definedName>
    <definedName name="solver_lhs156" localSheetId="4" hidden="1">calcAdaptive!$L$2</definedName>
    <definedName name="solver_lhs156" localSheetId="3" hidden="1">calcSimple!$H$2</definedName>
    <definedName name="solver_lhs157" localSheetId="4" hidden="1">calcAdaptive!$L$2</definedName>
    <definedName name="solver_lhs157" localSheetId="3" hidden="1">calcSimple!$H$2</definedName>
    <definedName name="solver_lhs158" localSheetId="4" hidden="1">calcAdaptive!$L$2</definedName>
    <definedName name="solver_lhs158" localSheetId="3" hidden="1">calcSimple!$H$2</definedName>
    <definedName name="solver_lhs159" localSheetId="4" hidden="1">calcAdaptive!$L$2</definedName>
    <definedName name="solver_lhs159" localSheetId="3" hidden="1">calcSimple!$H$2</definedName>
    <definedName name="solver_lhs16" localSheetId="4" hidden="1">calcAdaptive!$L$2</definedName>
    <definedName name="solver_lhs16" localSheetId="3" hidden="1">calcSimple!$H$2</definedName>
    <definedName name="solver_lhs160" localSheetId="4" hidden="1">calcAdaptive!$L$2</definedName>
    <definedName name="solver_lhs160" localSheetId="3" hidden="1">calcSimple!$H$2</definedName>
    <definedName name="solver_lhs161" localSheetId="4" hidden="1">calcAdaptive!$L$2</definedName>
    <definedName name="solver_lhs161" localSheetId="3" hidden="1">calcSimple!$H$2</definedName>
    <definedName name="solver_lhs162" localSheetId="4" hidden="1">calcAdaptive!$L$2</definedName>
    <definedName name="solver_lhs162" localSheetId="3" hidden="1">calcSimple!$H$2</definedName>
    <definedName name="solver_lhs163" localSheetId="4" hidden="1">calcAdaptive!$L$2</definedName>
    <definedName name="solver_lhs163" localSheetId="3" hidden="1">calcSimple!$H$2</definedName>
    <definedName name="solver_lhs164" localSheetId="4" hidden="1">calcAdaptive!$L$2</definedName>
    <definedName name="solver_lhs164" localSheetId="3" hidden="1">calcSimple!$H$2</definedName>
    <definedName name="solver_lhs165" localSheetId="4" hidden="1">calcAdaptive!$L$2</definedName>
    <definedName name="solver_lhs165" localSheetId="3" hidden="1">calcSimple!$H$2</definedName>
    <definedName name="solver_lhs166" localSheetId="4" hidden="1">calcAdaptive!$L$2</definedName>
    <definedName name="solver_lhs166" localSheetId="3" hidden="1">calcSimple!$H$2</definedName>
    <definedName name="solver_lhs167" localSheetId="4" hidden="1">calcAdaptive!$L$2</definedName>
    <definedName name="solver_lhs167" localSheetId="3" hidden="1">calcSimple!$H$2</definedName>
    <definedName name="solver_lhs168" localSheetId="4" hidden="1">calcAdaptive!$L$2</definedName>
    <definedName name="solver_lhs168" localSheetId="3" hidden="1">calcSimple!$H$2</definedName>
    <definedName name="solver_lhs169" localSheetId="4" hidden="1">calcAdaptive!$L$2</definedName>
    <definedName name="solver_lhs169" localSheetId="3" hidden="1">calcSimple!$H$2</definedName>
    <definedName name="solver_lhs17" localSheetId="4" hidden="1">calcAdaptive!$L$2</definedName>
    <definedName name="solver_lhs17" localSheetId="3" hidden="1">calcSimple!$H$2</definedName>
    <definedName name="solver_lhs170" localSheetId="4" hidden="1">calcAdaptive!$L$2</definedName>
    <definedName name="solver_lhs170" localSheetId="3" hidden="1">calcSimple!$H$2</definedName>
    <definedName name="solver_lhs171" localSheetId="4" hidden="1">calcAdaptive!$L$2</definedName>
    <definedName name="solver_lhs171" localSheetId="3" hidden="1">calcSimple!$H$2</definedName>
    <definedName name="solver_lhs172" localSheetId="4" hidden="1">calcAdaptive!$L$2</definedName>
    <definedName name="solver_lhs172" localSheetId="3" hidden="1">calcSimple!$H$2</definedName>
    <definedName name="solver_lhs173" localSheetId="4" hidden="1">calcAdaptive!$L$2</definedName>
    <definedName name="solver_lhs173" localSheetId="3" hidden="1">calcSimple!$H$2</definedName>
    <definedName name="solver_lhs174" localSheetId="4" hidden="1">calcAdaptive!$L$2</definedName>
    <definedName name="solver_lhs174" localSheetId="3" hidden="1">calcSimple!$H$2</definedName>
    <definedName name="solver_lhs175" localSheetId="4" hidden="1">calcAdaptive!$L$2</definedName>
    <definedName name="solver_lhs175" localSheetId="3" hidden="1">calcSimple!$H$2</definedName>
    <definedName name="solver_lhs176" localSheetId="4" hidden="1">calcAdaptive!$L$2</definedName>
    <definedName name="solver_lhs176" localSheetId="3" hidden="1">calcSimple!$H$2</definedName>
    <definedName name="solver_lhs177" localSheetId="4" hidden="1">calcAdaptive!$L$2</definedName>
    <definedName name="solver_lhs177" localSheetId="3" hidden="1">calcSimple!$H$2</definedName>
    <definedName name="solver_lhs178" localSheetId="4" hidden="1">calcAdaptive!$L$2</definedName>
    <definedName name="solver_lhs178" localSheetId="3" hidden="1">calcSimple!$H$2</definedName>
    <definedName name="solver_lhs179" localSheetId="4" hidden="1">calcAdaptive!$L$2</definedName>
    <definedName name="solver_lhs179" localSheetId="3" hidden="1">calcSimple!$H$2</definedName>
    <definedName name="solver_lhs18" localSheetId="4" hidden="1">calcAdaptive!$L$2</definedName>
    <definedName name="solver_lhs18" localSheetId="3" hidden="1">calcSimple!$H$2</definedName>
    <definedName name="solver_lhs180" localSheetId="4" hidden="1">calcAdaptive!$L$2</definedName>
    <definedName name="solver_lhs180" localSheetId="3" hidden="1">calcSimple!$H$2</definedName>
    <definedName name="solver_lhs181" localSheetId="4" hidden="1">calcAdaptive!$L$2</definedName>
    <definedName name="solver_lhs181" localSheetId="3" hidden="1">calcSimple!$H$2</definedName>
    <definedName name="solver_lhs182" localSheetId="4" hidden="1">calcAdaptive!$L$2</definedName>
    <definedName name="solver_lhs182" localSheetId="3" hidden="1">calcSimple!$H$2</definedName>
    <definedName name="solver_lhs183" localSheetId="4" hidden="1">calcAdaptive!$L$2</definedName>
    <definedName name="solver_lhs183" localSheetId="3" hidden="1">calcSimple!$H$2</definedName>
    <definedName name="solver_lhs184" localSheetId="4" hidden="1">calcAdaptive!$L$2</definedName>
    <definedName name="solver_lhs184" localSheetId="3" hidden="1">calcSimple!$H$2</definedName>
    <definedName name="solver_lhs185" localSheetId="4" hidden="1">calcAdaptive!$L$2</definedName>
    <definedName name="solver_lhs185" localSheetId="3" hidden="1">calcSimple!$H$2</definedName>
    <definedName name="solver_lhs186" localSheetId="4" hidden="1">calcAdaptive!$L$2</definedName>
    <definedName name="solver_lhs186" localSheetId="3" hidden="1">calcSimple!$H$2</definedName>
    <definedName name="solver_lhs187" localSheetId="4" hidden="1">calcAdaptive!$L$2</definedName>
    <definedName name="solver_lhs187" localSheetId="3" hidden="1">calcSimple!$H$2</definedName>
    <definedName name="solver_lhs188" localSheetId="4" hidden="1">calcAdaptive!$L$2</definedName>
    <definedName name="solver_lhs188" localSheetId="3" hidden="1">calcSimple!$H$2</definedName>
    <definedName name="solver_lhs189" localSheetId="4" hidden="1">calcAdaptive!$L$2</definedName>
    <definedName name="solver_lhs189" localSheetId="3" hidden="1">calcSimple!$H$2</definedName>
    <definedName name="solver_lhs19" localSheetId="4" hidden="1">calcAdaptive!$L$2</definedName>
    <definedName name="solver_lhs19" localSheetId="3" hidden="1">calcSimple!$H$2</definedName>
    <definedName name="solver_lhs190" localSheetId="4" hidden="1">calcAdaptive!$L$2</definedName>
    <definedName name="solver_lhs190" localSheetId="3" hidden="1">calcSimple!$H$2</definedName>
    <definedName name="solver_lhs191" localSheetId="4" hidden="1">calcAdaptive!$L$2</definedName>
    <definedName name="solver_lhs191" localSheetId="3" hidden="1">calcSimple!$H$2</definedName>
    <definedName name="solver_lhs192" localSheetId="4" hidden="1">calcAdaptive!$L$2</definedName>
    <definedName name="solver_lhs192" localSheetId="3" hidden="1">calcSimple!$H$2</definedName>
    <definedName name="solver_lhs193" localSheetId="4" hidden="1">calcAdaptive!$L$2</definedName>
    <definedName name="solver_lhs193" localSheetId="3" hidden="1">calcSimple!$H$2</definedName>
    <definedName name="solver_lhs194" localSheetId="4" hidden="1">calcAdaptive!$L$2</definedName>
    <definedName name="solver_lhs194" localSheetId="3" hidden="1">calcSimple!$H$2</definedName>
    <definedName name="solver_lhs195" localSheetId="4" hidden="1">calcAdaptive!$L$2</definedName>
    <definedName name="solver_lhs195" localSheetId="3" hidden="1">calcSimple!$H$2</definedName>
    <definedName name="solver_lhs196" localSheetId="4" hidden="1">calcAdaptive!$L$2</definedName>
    <definedName name="solver_lhs196" localSheetId="3" hidden="1">calcSimple!$H$2</definedName>
    <definedName name="solver_lhs197" localSheetId="4" hidden="1">calcAdaptive!$L$2</definedName>
    <definedName name="solver_lhs197" localSheetId="3" hidden="1">calcSimple!$H$2</definedName>
    <definedName name="solver_lhs198" localSheetId="4" hidden="1">calcAdaptive!$L$2</definedName>
    <definedName name="solver_lhs198" localSheetId="3" hidden="1">calcSimple!$H$2</definedName>
    <definedName name="solver_lhs199" localSheetId="4" hidden="1">calcAdaptive!$L$2</definedName>
    <definedName name="solver_lhs199" localSheetId="3" hidden="1">calcSimple!$H$2</definedName>
    <definedName name="solver_lhs2" localSheetId="4" hidden="1">calcAdaptive!$L$2</definedName>
    <definedName name="solver_lhs2" localSheetId="3" hidden="1">calcSimple!$H$2</definedName>
    <definedName name="solver_lhs20" localSheetId="4" hidden="1">calcAdaptive!$L$2</definedName>
    <definedName name="solver_lhs20" localSheetId="3" hidden="1">calcSimple!$H$2</definedName>
    <definedName name="solver_lhs200" localSheetId="4" hidden="1">calcAdaptive!$L$2</definedName>
    <definedName name="solver_lhs200" localSheetId="3" hidden="1">calcSimple!$H$2</definedName>
    <definedName name="solver_lhs201" localSheetId="4" hidden="1">calcAdaptive!$L$2</definedName>
    <definedName name="solver_lhs201" localSheetId="3" hidden="1">calcSimple!$H$2</definedName>
    <definedName name="solver_lhs202" localSheetId="4" hidden="1">calcAdaptive!$L$2</definedName>
    <definedName name="solver_lhs202" localSheetId="3" hidden="1">calcSimple!$H$2</definedName>
    <definedName name="solver_lhs203" localSheetId="4" hidden="1">calcAdaptive!$L$2</definedName>
    <definedName name="solver_lhs203" localSheetId="3" hidden="1">calcSimple!$H$2</definedName>
    <definedName name="solver_lhs204" localSheetId="4" hidden="1">calcAdaptive!$L$2</definedName>
    <definedName name="solver_lhs204" localSheetId="3" hidden="1">calcSimple!$H$2</definedName>
    <definedName name="solver_lhs205" localSheetId="4" hidden="1">calcAdaptive!$L$2</definedName>
    <definedName name="solver_lhs205" localSheetId="3" hidden="1">calcSimple!$H$2</definedName>
    <definedName name="solver_lhs206" localSheetId="4" hidden="1">calcAdaptive!$L$2</definedName>
    <definedName name="solver_lhs206" localSheetId="3" hidden="1">calcSimple!$H$2</definedName>
    <definedName name="solver_lhs207" localSheetId="4" hidden="1">calcAdaptive!$L$2</definedName>
    <definedName name="solver_lhs207" localSheetId="3" hidden="1">calcSimple!$H$2</definedName>
    <definedName name="solver_lhs208" localSheetId="4" hidden="1">calcAdaptive!$L$2</definedName>
    <definedName name="solver_lhs208" localSheetId="3" hidden="1">calcSimple!$H$2</definedName>
    <definedName name="solver_lhs209" localSheetId="4" hidden="1">calcAdaptive!$L$2</definedName>
    <definedName name="solver_lhs209" localSheetId="3" hidden="1">calcSimple!$H$2</definedName>
    <definedName name="solver_lhs21" localSheetId="4" hidden="1">calcAdaptive!$L$2</definedName>
    <definedName name="solver_lhs21" localSheetId="3" hidden="1">calcSimple!$H$2</definedName>
    <definedName name="solver_lhs210" localSheetId="4" hidden="1">calcAdaptive!$L$2</definedName>
    <definedName name="solver_lhs210" localSheetId="3" hidden="1">calcSimple!$H$2</definedName>
    <definedName name="solver_lhs211" localSheetId="4" hidden="1">calcAdaptive!$L$2</definedName>
    <definedName name="solver_lhs211" localSheetId="3" hidden="1">calcSimple!$H$2</definedName>
    <definedName name="solver_lhs212" localSheetId="4" hidden="1">calcAdaptive!$L$2</definedName>
    <definedName name="solver_lhs212" localSheetId="3" hidden="1">calcSimple!$H$2</definedName>
    <definedName name="solver_lhs213" localSheetId="4" hidden="1">calcAdaptive!$L$2</definedName>
    <definedName name="solver_lhs213" localSheetId="3" hidden="1">calcSimple!$H$2</definedName>
    <definedName name="solver_lhs214" localSheetId="4" hidden="1">calcAdaptive!$L$2</definedName>
    <definedName name="solver_lhs214" localSheetId="3" hidden="1">calcSimple!$H$2</definedName>
    <definedName name="solver_lhs215" localSheetId="4" hidden="1">calcAdaptive!$L$2</definedName>
    <definedName name="solver_lhs215" localSheetId="3" hidden="1">calcSimple!$H$2</definedName>
    <definedName name="solver_lhs216" localSheetId="4" hidden="1">calcAdaptive!$L$2</definedName>
    <definedName name="solver_lhs216" localSheetId="3" hidden="1">calcSimple!$H$2</definedName>
    <definedName name="solver_lhs217" localSheetId="4" hidden="1">calcAdaptive!$L$2</definedName>
    <definedName name="solver_lhs217" localSheetId="3" hidden="1">calcSimple!$H$2</definedName>
    <definedName name="solver_lhs218" localSheetId="4" hidden="1">calcAdaptive!$L$2</definedName>
    <definedName name="solver_lhs218" localSheetId="3" hidden="1">calcSimple!$H$2</definedName>
    <definedName name="solver_lhs219" localSheetId="4" hidden="1">calcAdaptive!$L$2</definedName>
    <definedName name="solver_lhs219" localSheetId="3" hidden="1">calcSimple!$H$2</definedName>
    <definedName name="solver_lhs22" localSheetId="4" hidden="1">calcAdaptive!$L$2</definedName>
    <definedName name="solver_lhs22" localSheetId="3" hidden="1">calcSimple!$H$2</definedName>
    <definedName name="solver_lhs220" localSheetId="4" hidden="1">calcAdaptive!$L$2</definedName>
    <definedName name="solver_lhs220" localSheetId="3" hidden="1">calcSimple!$H$2</definedName>
    <definedName name="solver_lhs221" localSheetId="4" hidden="1">calcAdaptive!$L$2</definedName>
    <definedName name="solver_lhs221" localSheetId="3" hidden="1">calcSimple!$H$2</definedName>
    <definedName name="solver_lhs222" localSheetId="4" hidden="1">calcAdaptive!$L$2</definedName>
    <definedName name="solver_lhs222" localSheetId="3" hidden="1">calcSimple!$H$2</definedName>
    <definedName name="solver_lhs223" localSheetId="4" hidden="1">calcAdaptive!$L$2</definedName>
    <definedName name="solver_lhs223" localSheetId="3" hidden="1">calcSimple!$H$2</definedName>
    <definedName name="solver_lhs224" localSheetId="4" hidden="1">calcAdaptive!$L$2</definedName>
    <definedName name="solver_lhs224" localSheetId="3" hidden="1">calcSimple!$H$2</definedName>
    <definedName name="solver_lhs225" localSheetId="4" hidden="1">calcAdaptive!$L$2</definedName>
    <definedName name="solver_lhs225" localSheetId="3" hidden="1">calcSimple!$H$2</definedName>
    <definedName name="solver_lhs226" localSheetId="4" hidden="1">calcAdaptive!$L$2</definedName>
    <definedName name="solver_lhs226" localSheetId="3" hidden="1">calcSimple!$H$2</definedName>
    <definedName name="solver_lhs227" localSheetId="4" hidden="1">calcAdaptive!$L$2</definedName>
    <definedName name="solver_lhs227" localSheetId="3" hidden="1">calcSimple!$H$2</definedName>
    <definedName name="solver_lhs228" localSheetId="4" hidden="1">calcAdaptive!$L$2</definedName>
    <definedName name="solver_lhs228" localSheetId="3" hidden="1">calcSimple!$H$2</definedName>
    <definedName name="solver_lhs229" localSheetId="4" hidden="1">calcAdaptive!$L$2</definedName>
    <definedName name="solver_lhs229" localSheetId="3" hidden="1">calcSimple!$H$2</definedName>
    <definedName name="solver_lhs23" localSheetId="4" hidden="1">calcAdaptive!$L$2</definedName>
    <definedName name="solver_lhs23" localSheetId="3" hidden="1">calcSimple!$H$2</definedName>
    <definedName name="solver_lhs230" localSheetId="4" hidden="1">calcAdaptive!$L$2</definedName>
    <definedName name="solver_lhs230" localSheetId="3" hidden="1">calcSimple!$H$2</definedName>
    <definedName name="solver_lhs231" localSheetId="4" hidden="1">calcAdaptive!$L$2</definedName>
    <definedName name="solver_lhs231" localSheetId="3" hidden="1">calcSimple!$H$2</definedName>
    <definedName name="solver_lhs232" localSheetId="4" hidden="1">calcAdaptive!$L$2</definedName>
    <definedName name="solver_lhs232" localSheetId="3" hidden="1">calcSimple!$H$2</definedName>
    <definedName name="solver_lhs233" localSheetId="4" hidden="1">calcAdaptive!$L$2</definedName>
    <definedName name="solver_lhs233" localSheetId="3" hidden="1">calcSimple!$H$2</definedName>
    <definedName name="solver_lhs234" localSheetId="4" hidden="1">calcAdaptive!$L$2</definedName>
    <definedName name="solver_lhs234" localSheetId="3" hidden="1">calcSimple!$H$2</definedName>
    <definedName name="solver_lhs235" localSheetId="4" hidden="1">calcAdaptive!$L$2</definedName>
    <definedName name="solver_lhs235" localSheetId="3" hidden="1">calcSimple!$H$2</definedName>
    <definedName name="solver_lhs236" localSheetId="4" hidden="1">calcAdaptive!$L$2</definedName>
    <definedName name="solver_lhs236" localSheetId="3" hidden="1">calcSimple!$H$2</definedName>
    <definedName name="solver_lhs237" localSheetId="4" hidden="1">calcAdaptive!$L$2</definedName>
    <definedName name="solver_lhs237" localSheetId="3" hidden="1">calcSimple!$H$2</definedName>
    <definedName name="solver_lhs238" localSheetId="4" hidden="1">calcAdaptive!$L$2</definedName>
    <definedName name="solver_lhs238" localSheetId="3" hidden="1">calcSimple!$H$2</definedName>
    <definedName name="solver_lhs239" localSheetId="3" hidden="1">calcSimple!$H$2</definedName>
    <definedName name="solver_lhs24" localSheetId="4" hidden="1">calcAdaptive!$L$2</definedName>
    <definedName name="solver_lhs24" localSheetId="3" hidden="1">calcSimple!$H$2</definedName>
    <definedName name="solver_lhs240" localSheetId="3" hidden="1">calcSimple!$H$2</definedName>
    <definedName name="solver_lhs241" localSheetId="3" hidden="1">calcSimple!$H$2</definedName>
    <definedName name="solver_lhs242" localSheetId="3" hidden="1">calcSimple!$H$2</definedName>
    <definedName name="solver_lhs243" localSheetId="3" hidden="1">calcSimple!$H$2</definedName>
    <definedName name="solver_lhs244" localSheetId="3" hidden="1">calcSimple!$H$2</definedName>
    <definedName name="solver_lhs245" localSheetId="3" hidden="1">calcSimple!$H$2</definedName>
    <definedName name="solver_lhs246" localSheetId="3" hidden="1">calcSimple!$H$2</definedName>
    <definedName name="solver_lhs247" localSheetId="3" hidden="1">calcSimple!$H$2</definedName>
    <definedName name="solver_lhs248" localSheetId="3" hidden="1">calcSimple!$H$2</definedName>
    <definedName name="solver_lhs249" localSheetId="3" hidden="1">calcSimple!$H$2</definedName>
    <definedName name="solver_lhs25" localSheetId="4" hidden="1">calcAdaptive!$L$2</definedName>
    <definedName name="solver_lhs25" localSheetId="3" hidden="1">calcSimple!$H$2</definedName>
    <definedName name="solver_lhs250" localSheetId="3" hidden="1">calcSimple!$H$2</definedName>
    <definedName name="solver_lhs251" localSheetId="3" hidden="1">calcSimple!$H$2</definedName>
    <definedName name="solver_lhs252" localSheetId="3" hidden="1">calcSimple!$H$2</definedName>
    <definedName name="solver_lhs253" localSheetId="3" hidden="1">calcSimple!$H$2</definedName>
    <definedName name="solver_lhs254" localSheetId="3" hidden="1">calcSimple!$H$2</definedName>
    <definedName name="solver_lhs255" localSheetId="3" hidden="1">calcSimple!$H$2</definedName>
    <definedName name="solver_lhs256" localSheetId="3" hidden="1">calcSimple!$H$2</definedName>
    <definedName name="solver_lhs257" localSheetId="3" hidden="1">calcSimple!$H$2</definedName>
    <definedName name="solver_lhs258" localSheetId="3" hidden="1">calcSimple!$H$2</definedName>
    <definedName name="solver_lhs259" localSheetId="3" hidden="1">calcSimple!$H$2</definedName>
    <definedName name="solver_lhs26" localSheetId="4" hidden="1">calcAdaptive!$L$2</definedName>
    <definedName name="solver_lhs26" localSheetId="3" hidden="1">calcSimple!$H$2</definedName>
    <definedName name="solver_lhs260" localSheetId="3" hidden="1">calcSimple!$H$2</definedName>
    <definedName name="solver_lhs261" localSheetId="3" hidden="1">calcSimple!$H$2</definedName>
    <definedName name="solver_lhs262" localSheetId="3" hidden="1">calcSimple!$H$2</definedName>
    <definedName name="solver_lhs263" localSheetId="3" hidden="1">calcSimple!$H$2</definedName>
    <definedName name="solver_lhs264" localSheetId="3" hidden="1">calcSimple!$H$2</definedName>
    <definedName name="solver_lhs265" localSheetId="3" hidden="1">calcSimple!$H$2</definedName>
    <definedName name="solver_lhs266" localSheetId="3" hidden="1">calcSimple!$H$2</definedName>
    <definedName name="solver_lhs267" localSheetId="3" hidden="1">calcSimple!$H$2</definedName>
    <definedName name="solver_lhs268" localSheetId="3" hidden="1">calcSimple!$H$2</definedName>
    <definedName name="solver_lhs269" localSheetId="3" hidden="1">calcSimple!$H$2</definedName>
    <definedName name="solver_lhs27" localSheetId="4" hidden="1">calcAdaptive!$L$2</definedName>
    <definedName name="solver_lhs27" localSheetId="3" hidden="1">calcSimple!$H$2</definedName>
    <definedName name="solver_lhs270" localSheetId="3" hidden="1">calcSimple!$H$2</definedName>
    <definedName name="solver_lhs271" localSheetId="3" hidden="1">calcSimple!$H$2</definedName>
    <definedName name="solver_lhs272" localSheetId="3" hidden="1">calcSimple!$H$2</definedName>
    <definedName name="solver_lhs273" localSheetId="3" hidden="1">calcSimple!$H$2</definedName>
    <definedName name="solver_lhs274" localSheetId="3" hidden="1">calcSimple!$H$2</definedName>
    <definedName name="solver_lhs275" localSheetId="3" hidden="1">calcSimple!$H$2</definedName>
    <definedName name="solver_lhs276" localSheetId="3" hidden="1">calcSimple!$H$2</definedName>
    <definedName name="solver_lhs277" localSheetId="3" hidden="1">calcSimple!$H$2</definedName>
    <definedName name="solver_lhs278" localSheetId="3" hidden="1">calcSimple!$H$2</definedName>
    <definedName name="solver_lhs279" localSheetId="3" hidden="1">calcSimple!$H$2</definedName>
    <definedName name="solver_lhs28" localSheetId="4" hidden="1">calcAdaptive!$L$2</definedName>
    <definedName name="solver_lhs28" localSheetId="3" hidden="1">calcSimple!$H$2</definedName>
    <definedName name="solver_lhs280" localSheetId="3" hidden="1">calcSimple!$H$2</definedName>
    <definedName name="solver_lhs281" localSheetId="3" hidden="1">calcSimple!$H$2</definedName>
    <definedName name="solver_lhs282" localSheetId="3" hidden="1">calcSimple!$H$2</definedName>
    <definedName name="solver_lhs283" localSheetId="3" hidden="1">calcSimple!$H$2</definedName>
    <definedName name="solver_lhs284" localSheetId="3" hidden="1">calcSimple!$H$2</definedName>
    <definedName name="solver_lhs285" localSheetId="3" hidden="1">calcSimple!$H$2</definedName>
    <definedName name="solver_lhs286" localSheetId="3" hidden="1">calcSimple!$H$2</definedName>
    <definedName name="solver_lhs287" localSheetId="3" hidden="1">calcSimple!$H$2</definedName>
    <definedName name="solver_lhs288" localSheetId="3" hidden="1">calcSimple!$H$2</definedName>
    <definedName name="solver_lhs289" localSheetId="3" hidden="1">calcSimple!$H$2</definedName>
    <definedName name="solver_lhs29" localSheetId="4" hidden="1">calcAdaptive!$L$2</definedName>
    <definedName name="solver_lhs29" localSheetId="3" hidden="1">calcSimple!$H$2</definedName>
    <definedName name="solver_lhs290" localSheetId="3" hidden="1">calcSimple!$H$2</definedName>
    <definedName name="solver_lhs291" localSheetId="3" hidden="1">calcSimple!$H$2</definedName>
    <definedName name="solver_lhs292" localSheetId="3" hidden="1">calcSimple!$H$2</definedName>
    <definedName name="solver_lhs293" localSheetId="3" hidden="1">calcSimple!$H$2</definedName>
    <definedName name="solver_lhs294" localSheetId="3" hidden="1">calcSimple!$H$2</definedName>
    <definedName name="solver_lhs295" localSheetId="3" hidden="1">calcSimple!$H$2</definedName>
    <definedName name="solver_lhs296" localSheetId="3" hidden="1">calcSimple!$H$2</definedName>
    <definedName name="solver_lhs297" localSheetId="3" hidden="1">calcSimple!$H$2</definedName>
    <definedName name="solver_lhs298" localSheetId="3" hidden="1">calcSimple!$H$2</definedName>
    <definedName name="solver_lhs299" localSheetId="3" hidden="1">calcSimple!$H$2</definedName>
    <definedName name="solver_lhs3" localSheetId="4" hidden="1">calcAdaptive!$L$2</definedName>
    <definedName name="solver_lhs3" localSheetId="3" hidden="1">calcSimple!$H$2</definedName>
    <definedName name="solver_lhs30" localSheetId="4" hidden="1">calcAdaptive!$L$2</definedName>
    <definedName name="solver_lhs30" localSheetId="3" hidden="1">calcSimple!$H$2</definedName>
    <definedName name="solver_lhs300" localSheetId="3" hidden="1">calcSimple!$H$2</definedName>
    <definedName name="solver_lhs301" localSheetId="3" hidden="1">calcSimple!$H$2</definedName>
    <definedName name="solver_lhs302" localSheetId="3" hidden="1">calcSimple!$H$2</definedName>
    <definedName name="solver_lhs303" localSheetId="3" hidden="1">calcSimple!$H$2</definedName>
    <definedName name="solver_lhs304" localSheetId="3" hidden="1">calcSimple!$H$2</definedName>
    <definedName name="solver_lhs305" localSheetId="3" hidden="1">calcSimple!$H$2</definedName>
    <definedName name="solver_lhs306" localSheetId="3" hidden="1">calcSimple!$H$2</definedName>
    <definedName name="solver_lhs307" localSheetId="3" hidden="1">calcSimple!$H$2</definedName>
    <definedName name="solver_lhs308" localSheetId="3" hidden="1">calcSimple!$H$2</definedName>
    <definedName name="solver_lhs309" localSheetId="3" hidden="1">calcSimple!$H$2</definedName>
    <definedName name="solver_lhs31" localSheetId="4" hidden="1">calcAdaptive!$L$2</definedName>
    <definedName name="solver_lhs31" localSheetId="3" hidden="1">calcSimple!$H$2</definedName>
    <definedName name="solver_lhs310" localSheetId="3" hidden="1">calcSimple!$H$2</definedName>
    <definedName name="solver_lhs311" localSheetId="3" hidden="1">calcSimple!$H$2</definedName>
    <definedName name="solver_lhs312" localSheetId="3" hidden="1">calcSimple!$H$2</definedName>
    <definedName name="solver_lhs313" localSheetId="3" hidden="1">calcSimple!$H$2</definedName>
    <definedName name="solver_lhs314" localSheetId="3" hidden="1">calcSimple!$H$2</definedName>
    <definedName name="solver_lhs315" localSheetId="3" hidden="1">calcSimple!$H$2</definedName>
    <definedName name="solver_lhs316" localSheetId="3" hidden="1">calcSimple!$H$2</definedName>
    <definedName name="solver_lhs317" localSheetId="3" hidden="1">calcSimple!$H$2</definedName>
    <definedName name="solver_lhs318" localSheetId="3" hidden="1">calcSimple!$H$2</definedName>
    <definedName name="solver_lhs319" localSheetId="3" hidden="1">calcSimple!$H$2</definedName>
    <definedName name="solver_lhs32" localSheetId="4" hidden="1">calcAdaptive!$L$2</definedName>
    <definedName name="solver_lhs32" localSheetId="3" hidden="1">calcSimple!$H$2</definedName>
    <definedName name="solver_lhs320" localSheetId="3" hidden="1">calcSimple!$H$2</definedName>
    <definedName name="solver_lhs321" localSheetId="3" hidden="1">calcSimple!$H$2</definedName>
    <definedName name="solver_lhs322" localSheetId="3" hidden="1">calcSimple!$H$2</definedName>
    <definedName name="solver_lhs323" localSheetId="3" hidden="1">calcSimple!$H$2</definedName>
    <definedName name="solver_lhs324" localSheetId="3" hidden="1">calcSimple!$H$2</definedName>
    <definedName name="solver_lhs325" localSheetId="3" hidden="1">calcSimple!$H$2</definedName>
    <definedName name="solver_lhs326" localSheetId="3" hidden="1">calcSimple!$H$2</definedName>
    <definedName name="solver_lhs327" localSheetId="3" hidden="1">calcSimple!$H$2</definedName>
    <definedName name="solver_lhs328" localSheetId="3" hidden="1">calcSimple!$H$2</definedName>
    <definedName name="solver_lhs329" localSheetId="3" hidden="1">calcSimple!$H$2</definedName>
    <definedName name="solver_lhs33" localSheetId="4" hidden="1">calcAdaptive!$L$2</definedName>
    <definedName name="solver_lhs33" localSheetId="3" hidden="1">calcSimple!$H$2</definedName>
    <definedName name="solver_lhs330" localSheetId="3" hidden="1">calcSimple!$H$2</definedName>
    <definedName name="solver_lhs331" localSheetId="3" hidden="1">calcSimple!$H$2</definedName>
    <definedName name="solver_lhs332" localSheetId="3" hidden="1">calcSimple!$H$2</definedName>
    <definedName name="solver_lhs34" localSheetId="4" hidden="1">calcAdaptive!$L$2</definedName>
    <definedName name="solver_lhs34" localSheetId="3" hidden="1">calcSimple!$H$2</definedName>
    <definedName name="solver_lhs35" localSheetId="4" hidden="1">calcAdaptive!$L$2</definedName>
    <definedName name="solver_lhs35" localSheetId="3" hidden="1">calcSimple!$H$2</definedName>
    <definedName name="solver_lhs36" localSheetId="4" hidden="1">calcAdaptive!$L$2</definedName>
    <definedName name="solver_lhs36" localSheetId="3" hidden="1">calcSimple!$H$2</definedName>
    <definedName name="solver_lhs37" localSheetId="4" hidden="1">calcAdaptive!$L$2</definedName>
    <definedName name="solver_lhs37" localSheetId="3" hidden="1">calcSimple!$H$2</definedName>
    <definedName name="solver_lhs38" localSheetId="4" hidden="1">calcAdaptive!$L$2</definedName>
    <definedName name="solver_lhs38" localSheetId="3" hidden="1">calcSimple!$H$2</definedName>
    <definedName name="solver_lhs39" localSheetId="4" hidden="1">calcAdaptive!$L$2</definedName>
    <definedName name="solver_lhs39" localSheetId="3" hidden="1">calcSimple!$H$2</definedName>
    <definedName name="solver_lhs4" localSheetId="4" hidden="1">calcAdaptive!$L$2</definedName>
    <definedName name="solver_lhs4" localSheetId="3" hidden="1">calcSimple!$H$2</definedName>
    <definedName name="solver_lhs40" localSheetId="4" hidden="1">calcAdaptive!$L$2</definedName>
    <definedName name="solver_lhs40" localSheetId="3" hidden="1">calcSimple!$H$2</definedName>
    <definedName name="solver_lhs41" localSheetId="4" hidden="1">calcAdaptive!$L$2</definedName>
    <definedName name="solver_lhs41" localSheetId="3" hidden="1">calcSimple!$H$2</definedName>
    <definedName name="solver_lhs42" localSheetId="4" hidden="1">calcAdaptive!$L$2</definedName>
    <definedName name="solver_lhs42" localSheetId="3" hidden="1">calcSimple!$H$2</definedName>
    <definedName name="solver_lhs43" localSheetId="4" hidden="1">calcAdaptive!$L$2</definedName>
    <definedName name="solver_lhs43" localSheetId="3" hidden="1">calcSimple!$H$2</definedName>
    <definedName name="solver_lhs44" localSheetId="4" hidden="1">calcAdaptive!$L$2</definedName>
    <definedName name="solver_lhs44" localSheetId="3" hidden="1">calcSimple!$H$2</definedName>
    <definedName name="solver_lhs45" localSheetId="4" hidden="1">calcAdaptive!$L$2</definedName>
    <definedName name="solver_lhs45" localSheetId="3" hidden="1">calcSimple!$H$2</definedName>
    <definedName name="solver_lhs46" localSheetId="4" hidden="1">calcAdaptive!$L$2</definedName>
    <definedName name="solver_lhs46" localSheetId="3" hidden="1">calcSimple!$H$2</definedName>
    <definedName name="solver_lhs47" localSheetId="4" hidden="1">calcAdaptive!$L$2</definedName>
    <definedName name="solver_lhs47" localSheetId="3" hidden="1">calcSimple!$H$2</definedName>
    <definedName name="solver_lhs48" localSheetId="4" hidden="1">calcAdaptive!$L$2</definedName>
    <definedName name="solver_lhs48" localSheetId="3" hidden="1">calcSimple!$H$2</definedName>
    <definedName name="solver_lhs49" localSheetId="4" hidden="1">calcAdaptive!$L$2</definedName>
    <definedName name="solver_lhs49" localSheetId="3" hidden="1">calcSimple!$H$2</definedName>
    <definedName name="solver_lhs5" localSheetId="4" hidden="1">calcAdaptive!$L$2</definedName>
    <definedName name="solver_lhs5" localSheetId="3" hidden="1">calcSimple!$H$2</definedName>
    <definedName name="solver_lhs50" localSheetId="4" hidden="1">calcAdaptive!$L$2</definedName>
    <definedName name="solver_lhs50" localSheetId="3" hidden="1">calcSimple!$H$2</definedName>
    <definedName name="solver_lhs51" localSheetId="4" hidden="1">calcAdaptive!$L$2</definedName>
    <definedName name="solver_lhs51" localSheetId="3" hidden="1">calcSimple!$H$2</definedName>
    <definedName name="solver_lhs52" localSheetId="4" hidden="1">calcAdaptive!$L$2</definedName>
    <definedName name="solver_lhs52" localSheetId="3" hidden="1">calcSimple!$H$2</definedName>
    <definedName name="solver_lhs53" localSheetId="4" hidden="1">calcAdaptive!$L$2</definedName>
    <definedName name="solver_lhs53" localSheetId="3" hidden="1">calcSimple!$H$2</definedName>
    <definedName name="solver_lhs54" localSheetId="4" hidden="1">calcAdaptive!$L$2</definedName>
    <definedName name="solver_lhs54" localSheetId="3" hidden="1">calcSimple!$H$2</definedName>
    <definedName name="solver_lhs55" localSheetId="4" hidden="1">calcAdaptive!$L$2</definedName>
    <definedName name="solver_lhs55" localSheetId="3" hidden="1">calcSimple!$H$2</definedName>
    <definedName name="solver_lhs56" localSheetId="4" hidden="1">calcAdaptive!$L$2</definedName>
    <definedName name="solver_lhs56" localSheetId="3" hidden="1">calcSimple!$H$2</definedName>
    <definedName name="solver_lhs57" localSheetId="4" hidden="1">calcAdaptive!$L$2</definedName>
    <definedName name="solver_lhs57" localSheetId="3" hidden="1">calcSimple!$H$2</definedName>
    <definedName name="solver_lhs58" localSheetId="4" hidden="1">calcAdaptive!$L$2</definedName>
    <definedName name="solver_lhs58" localSheetId="3" hidden="1">calcSimple!$H$2</definedName>
    <definedName name="solver_lhs59" localSheetId="4" hidden="1">calcAdaptive!$L$2</definedName>
    <definedName name="solver_lhs59" localSheetId="3" hidden="1">calcSimple!$H$2</definedName>
    <definedName name="solver_lhs6" localSheetId="4" hidden="1">calcAdaptive!$L$2</definedName>
    <definedName name="solver_lhs6" localSheetId="3" hidden="1">calcSimple!$H$2</definedName>
    <definedName name="solver_lhs60" localSheetId="4" hidden="1">calcAdaptive!$L$2</definedName>
    <definedName name="solver_lhs60" localSheetId="3" hidden="1">calcSimple!$H$2</definedName>
    <definedName name="solver_lhs61" localSheetId="4" hidden="1">calcAdaptive!$L$2</definedName>
    <definedName name="solver_lhs61" localSheetId="3" hidden="1">calcSimple!$H$2</definedName>
    <definedName name="solver_lhs62" localSheetId="4" hidden="1">calcAdaptive!$L$2</definedName>
    <definedName name="solver_lhs62" localSheetId="3" hidden="1">calcSimple!$H$2</definedName>
    <definedName name="solver_lhs63" localSheetId="4" hidden="1">calcAdaptive!$L$2</definedName>
    <definedName name="solver_lhs63" localSheetId="3" hidden="1">calcSimple!$H$2</definedName>
    <definedName name="solver_lhs64" localSheetId="4" hidden="1">calcAdaptive!$L$2</definedName>
    <definedName name="solver_lhs64" localSheetId="3" hidden="1">calcSimple!$H$2</definedName>
    <definedName name="solver_lhs65" localSheetId="4" hidden="1">calcAdaptive!$L$2</definedName>
    <definedName name="solver_lhs65" localSheetId="3" hidden="1">calcSimple!$H$2</definedName>
    <definedName name="solver_lhs66" localSheetId="4" hidden="1">calcAdaptive!$L$2</definedName>
    <definedName name="solver_lhs66" localSheetId="3" hidden="1">calcSimple!$H$2</definedName>
    <definedName name="solver_lhs67" localSheetId="4" hidden="1">calcAdaptive!$L$2</definedName>
    <definedName name="solver_lhs67" localSheetId="3" hidden="1">calcSimple!$H$2</definedName>
    <definedName name="solver_lhs68" localSheetId="4" hidden="1">calcAdaptive!$L$2</definedName>
    <definedName name="solver_lhs68" localSheetId="3" hidden="1">calcSimple!$H$2</definedName>
    <definedName name="solver_lhs69" localSheetId="4" hidden="1">calcAdaptive!$L$2</definedName>
    <definedName name="solver_lhs69" localSheetId="3" hidden="1">calcSimple!$H$2</definedName>
    <definedName name="solver_lhs7" localSheetId="4" hidden="1">calcAdaptive!$L$2</definedName>
    <definedName name="solver_lhs7" localSheetId="3" hidden="1">calcSimple!$H$2</definedName>
    <definedName name="solver_lhs70" localSheetId="4" hidden="1">calcAdaptive!$L$2</definedName>
    <definedName name="solver_lhs70" localSheetId="3" hidden="1">calcSimple!$H$2</definedName>
    <definedName name="solver_lhs71" localSheetId="4" hidden="1">calcAdaptive!$L$2</definedName>
    <definedName name="solver_lhs71" localSheetId="3" hidden="1">calcSimple!$H$2</definedName>
    <definedName name="solver_lhs72" localSheetId="4" hidden="1">calcAdaptive!$L$2</definedName>
    <definedName name="solver_lhs72" localSheetId="3" hidden="1">calcSimple!$H$2</definedName>
    <definedName name="solver_lhs73" localSheetId="4" hidden="1">calcAdaptive!$L$2</definedName>
    <definedName name="solver_lhs73" localSheetId="3" hidden="1">calcSimple!$H$2</definedName>
    <definedName name="solver_lhs74" localSheetId="4" hidden="1">calcAdaptive!$L$2</definedName>
    <definedName name="solver_lhs74" localSheetId="3" hidden="1">calcSimple!$H$2</definedName>
    <definedName name="solver_lhs75" localSheetId="4" hidden="1">calcAdaptive!$L$2</definedName>
    <definedName name="solver_lhs75" localSheetId="3" hidden="1">calcSimple!$H$2</definedName>
    <definedName name="solver_lhs76" localSheetId="4" hidden="1">calcAdaptive!$L$2</definedName>
    <definedName name="solver_lhs76" localSheetId="3" hidden="1">calcSimple!$H$2</definedName>
    <definedName name="solver_lhs77" localSheetId="4" hidden="1">calcAdaptive!$L$2</definedName>
    <definedName name="solver_lhs77" localSheetId="3" hidden="1">calcSimple!$H$2</definedName>
    <definedName name="solver_lhs78" localSheetId="4" hidden="1">calcAdaptive!$L$2</definedName>
    <definedName name="solver_lhs78" localSheetId="3" hidden="1">calcSimple!$H$2</definedName>
    <definedName name="solver_lhs79" localSheetId="4" hidden="1">calcAdaptive!$L$2</definedName>
    <definedName name="solver_lhs79" localSheetId="3" hidden="1">calcSimple!$H$2</definedName>
    <definedName name="solver_lhs8" localSheetId="4" hidden="1">calcAdaptive!$L$2</definedName>
    <definedName name="solver_lhs8" localSheetId="3" hidden="1">calcSimple!$H$2</definedName>
    <definedName name="solver_lhs80" localSheetId="4" hidden="1">calcAdaptive!$L$2</definedName>
    <definedName name="solver_lhs80" localSheetId="3" hidden="1">calcSimple!$H$2</definedName>
    <definedName name="solver_lhs81" localSheetId="4" hidden="1">calcAdaptive!$L$2</definedName>
    <definedName name="solver_lhs81" localSheetId="3" hidden="1">calcSimple!$H$2</definedName>
    <definedName name="solver_lhs82" localSheetId="4" hidden="1">calcAdaptive!$L$2</definedName>
    <definedName name="solver_lhs82" localSheetId="3" hidden="1">calcSimple!$H$2</definedName>
    <definedName name="solver_lhs83" localSheetId="4" hidden="1">calcAdaptive!$L$2</definedName>
    <definedName name="solver_lhs83" localSheetId="3" hidden="1">calcSimple!$H$2</definedName>
    <definedName name="solver_lhs84" localSheetId="4" hidden="1">calcAdaptive!$L$2</definedName>
    <definedName name="solver_lhs84" localSheetId="3" hidden="1">calcSimple!$H$2</definedName>
    <definedName name="solver_lhs85" localSheetId="4" hidden="1">calcAdaptive!$L$2</definedName>
    <definedName name="solver_lhs85" localSheetId="3" hidden="1">calcSimple!$H$2</definedName>
    <definedName name="solver_lhs86" localSheetId="4" hidden="1">calcAdaptive!$L$2</definedName>
    <definedName name="solver_lhs86" localSheetId="3" hidden="1">calcSimple!$H$2</definedName>
    <definedName name="solver_lhs87" localSheetId="4" hidden="1">calcAdaptive!$L$2</definedName>
    <definedName name="solver_lhs87" localSheetId="3" hidden="1">calcSimple!$H$2</definedName>
    <definedName name="solver_lhs88" localSheetId="4" hidden="1">calcAdaptive!$L$2</definedName>
    <definedName name="solver_lhs88" localSheetId="3" hidden="1">calcSimple!$H$2</definedName>
    <definedName name="solver_lhs89" localSheetId="4" hidden="1">calcAdaptive!$L$2</definedName>
    <definedName name="solver_lhs89" localSheetId="3" hidden="1">calcSimple!$H$2</definedName>
    <definedName name="solver_lhs9" localSheetId="4" hidden="1">calcAdaptive!$L$2</definedName>
    <definedName name="solver_lhs9" localSheetId="3" hidden="1">calcSimple!$H$2</definedName>
    <definedName name="solver_lhs90" localSheetId="4" hidden="1">calcAdaptive!$L$2</definedName>
    <definedName name="solver_lhs90" localSheetId="3" hidden="1">calcSimple!$H$2</definedName>
    <definedName name="solver_lhs91" localSheetId="4" hidden="1">calcAdaptive!$L$2</definedName>
    <definedName name="solver_lhs91" localSheetId="3" hidden="1">calcSimple!$H$2</definedName>
    <definedName name="solver_lhs92" localSheetId="4" hidden="1">calcAdaptive!$L$2</definedName>
    <definedName name="solver_lhs92" localSheetId="3" hidden="1">calcSimple!$H$2</definedName>
    <definedName name="solver_lhs93" localSheetId="4" hidden="1">calcAdaptive!$L$2</definedName>
    <definedName name="solver_lhs93" localSheetId="3" hidden="1">calcSimple!$H$2</definedName>
    <definedName name="solver_lhs94" localSheetId="4" hidden="1">calcAdaptive!$L$2</definedName>
    <definedName name="solver_lhs94" localSheetId="3" hidden="1">calcSimple!$H$2</definedName>
    <definedName name="solver_lhs95" localSheetId="4" hidden="1">calcAdaptive!$L$2</definedName>
    <definedName name="solver_lhs95" localSheetId="3" hidden="1">calcSimple!$H$2</definedName>
    <definedName name="solver_lhs96" localSheetId="4" hidden="1">calcAdaptive!$L$2</definedName>
    <definedName name="solver_lhs96" localSheetId="3" hidden="1">calcSimple!$H$2</definedName>
    <definedName name="solver_lhs97" localSheetId="4" hidden="1">calcAdaptive!$L$2</definedName>
    <definedName name="solver_lhs97" localSheetId="3" hidden="1">calcSimple!$H$2</definedName>
    <definedName name="solver_lhs98" localSheetId="4" hidden="1">calcAdaptive!$L$2</definedName>
    <definedName name="solver_lhs98" localSheetId="3" hidden="1">calcSimple!$H$2</definedName>
    <definedName name="solver_lhs99" localSheetId="4" hidden="1">calcAdaptive!$L$2</definedName>
    <definedName name="solver_lhs99" localSheetId="3" hidden="1">calcSimple!$H$2</definedName>
    <definedName name="solver_mip" localSheetId="4" hidden="1">2147483647</definedName>
    <definedName name="solver_mip" localSheetId="3" hidden="1">2147483647</definedName>
    <definedName name="solver_mni" localSheetId="4" hidden="1">30</definedName>
    <definedName name="solver_mni" localSheetId="3" hidden="1">30</definedName>
    <definedName name="solver_mrt" localSheetId="4" hidden="1">0.075</definedName>
    <definedName name="solver_mrt" localSheetId="3" hidden="1">0.075</definedName>
    <definedName name="solver_msl" localSheetId="4" hidden="1">2</definedName>
    <definedName name="solver_msl" localSheetId="3" hidden="1">2</definedName>
    <definedName name="solver_neg" localSheetId="4" hidden="1">1</definedName>
    <definedName name="solver_neg" localSheetId="3" hidden="1">1</definedName>
    <definedName name="solver_nod" localSheetId="4" hidden="1">2147483647</definedName>
    <definedName name="solver_nod" localSheetId="3" hidden="1">2147483647</definedName>
    <definedName name="solver_num" localSheetId="4" hidden="1">236</definedName>
    <definedName name="solver_num" localSheetId="3" hidden="1">332</definedName>
    <definedName name="solver_nwt" localSheetId="4" hidden="1">1</definedName>
    <definedName name="solver_nwt" localSheetId="3" hidden="1">1</definedName>
    <definedName name="solver_opt" localSheetId="4" hidden="1">calcAdaptive!$K$2</definedName>
    <definedName name="solver_opt" localSheetId="3" hidden="1">calcSimple!$G$2</definedName>
    <definedName name="solver_pre" localSheetId="4" hidden="1">0.000001</definedName>
    <definedName name="solver_pre" localSheetId="3" hidden="1">0.000001</definedName>
    <definedName name="solver_rbv" localSheetId="4" hidden="1">2</definedName>
    <definedName name="solver_rbv" localSheetId="3" hidden="1">1</definedName>
    <definedName name="solver_rel1" localSheetId="4" hidden="1">3</definedName>
    <definedName name="solver_rel1" localSheetId="3" hidden="1">1</definedName>
    <definedName name="solver_rel10" localSheetId="4" hidden="1">1</definedName>
    <definedName name="solver_rel10" localSheetId="3" hidden="1">1</definedName>
    <definedName name="solver_rel100" localSheetId="4" hidden="1">1</definedName>
    <definedName name="solver_rel100" localSheetId="3" hidden="1">1</definedName>
    <definedName name="solver_rel101" localSheetId="4" hidden="1">3</definedName>
    <definedName name="solver_rel101" localSheetId="3" hidden="1">3</definedName>
    <definedName name="solver_rel102" localSheetId="4" hidden="1">1</definedName>
    <definedName name="solver_rel102" localSheetId="3" hidden="1">1</definedName>
    <definedName name="solver_rel103" localSheetId="4" hidden="1">3</definedName>
    <definedName name="solver_rel103" localSheetId="3" hidden="1">3</definedName>
    <definedName name="solver_rel104" localSheetId="4" hidden="1">1</definedName>
    <definedName name="solver_rel104" localSheetId="3" hidden="1">1</definedName>
    <definedName name="solver_rel105" localSheetId="4" hidden="1">3</definedName>
    <definedName name="solver_rel105" localSheetId="3" hidden="1">3</definedName>
    <definedName name="solver_rel106" localSheetId="4" hidden="1">1</definedName>
    <definedName name="solver_rel106" localSheetId="3" hidden="1">1</definedName>
    <definedName name="solver_rel107" localSheetId="4" hidden="1">3</definedName>
    <definedName name="solver_rel107" localSheetId="3" hidden="1">3</definedName>
    <definedName name="solver_rel108" localSheetId="4" hidden="1">1</definedName>
    <definedName name="solver_rel108" localSheetId="3" hidden="1">1</definedName>
    <definedName name="solver_rel109" localSheetId="4" hidden="1">3</definedName>
    <definedName name="solver_rel109" localSheetId="3" hidden="1">3</definedName>
    <definedName name="solver_rel11" localSheetId="4" hidden="1">3</definedName>
    <definedName name="solver_rel11" localSheetId="3" hidden="1">3</definedName>
    <definedName name="solver_rel110" localSheetId="4" hidden="1">1</definedName>
    <definedName name="solver_rel110" localSheetId="3" hidden="1">1</definedName>
    <definedName name="solver_rel111" localSheetId="4" hidden="1">3</definedName>
    <definedName name="solver_rel111" localSheetId="3" hidden="1">3</definedName>
    <definedName name="solver_rel112" localSheetId="4" hidden="1">1</definedName>
    <definedName name="solver_rel112" localSheetId="3" hidden="1">1</definedName>
    <definedName name="solver_rel113" localSheetId="4" hidden="1">3</definedName>
    <definedName name="solver_rel113" localSheetId="3" hidden="1">3</definedName>
    <definedName name="solver_rel114" localSheetId="4" hidden="1">1</definedName>
    <definedName name="solver_rel114" localSheetId="3" hidden="1">1</definedName>
    <definedName name="solver_rel115" localSheetId="4" hidden="1">3</definedName>
    <definedName name="solver_rel115" localSheetId="3" hidden="1">3</definedName>
    <definedName name="solver_rel116" localSheetId="4" hidden="1">1</definedName>
    <definedName name="solver_rel116" localSheetId="3" hidden="1">1</definedName>
    <definedName name="solver_rel117" localSheetId="4" hidden="1">3</definedName>
    <definedName name="solver_rel117" localSheetId="3" hidden="1">3</definedName>
    <definedName name="solver_rel118" localSheetId="4" hidden="1">1</definedName>
    <definedName name="solver_rel118" localSheetId="3" hidden="1">1</definedName>
    <definedName name="solver_rel119" localSheetId="4" hidden="1">3</definedName>
    <definedName name="solver_rel119" localSheetId="3" hidden="1">3</definedName>
    <definedName name="solver_rel12" localSheetId="4" hidden="1">1</definedName>
    <definedName name="solver_rel12" localSheetId="3" hidden="1">1</definedName>
    <definedName name="solver_rel120" localSheetId="4" hidden="1">1</definedName>
    <definedName name="solver_rel120" localSheetId="3" hidden="1">1</definedName>
    <definedName name="solver_rel121" localSheetId="4" hidden="1">3</definedName>
    <definedName name="solver_rel121" localSheetId="3" hidden="1">3</definedName>
    <definedName name="solver_rel122" localSheetId="4" hidden="1">1</definedName>
    <definedName name="solver_rel122" localSheetId="3" hidden="1">1</definedName>
    <definedName name="solver_rel123" localSheetId="4" hidden="1">3</definedName>
    <definedName name="solver_rel123" localSheetId="3" hidden="1">3</definedName>
    <definedName name="solver_rel124" localSheetId="4" hidden="1">1</definedName>
    <definedName name="solver_rel124" localSheetId="3" hidden="1">1</definedName>
    <definedName name="solver_rel125" localSheetId="4" hidden="1">3</definedName>
    <definedName name="solver_rel125" localSheetId="3" hidden="1">3</definedName>
    <definedName name="solver_rel126" localSheetId="4" hidden="1">1</definedName>
    <definedName name="solver_rel126" localSheetId="3" hidden="1">1</definedName>
    <definedName name="solver_rel127" localSheetId="4" hidden="1">3</definedName>
    <definedName name="solver_rel127" localSheetId="3" hidden="1">3</definedName>
    <definedName name="solver_rel128" localSheetId="4" hidden="1">1</definedName>
    <definedName name="solver_rel128" localSheetId="3" hidden="1">1</definedName>
    <definedName name="solver_rel129" localSheetId="4" hidden="1">3</definedName>
    <definedName name="solver_rel129" localSheetId="3" hidden="1">3</definedName>
    <definedName name="solver_rel13" localSheetId="4" hidden="1">3</definedName>
    <definedName name="solver_rel13" localSheetId="3" hidden="1">3</definedName>
    <definedName name="solver_rel130" localSheetId="4" hidden="1">1</definedName>
    <definedName name="solver_rel130" localSheetId="3" hidden="1">1</definedName>
    <definedName name="solver_rel131" localSheetId="4" hidden="1">3</definedName>
    <definedName name="solver_rel131" localSheetId="3" hidden="1">3</definedName>
    <definedName name="solver_rel132" localSheetId="4" hidden="1">1</definedName>
    <definedName name="solver_rel132" localSheetId="3" hidden="1">1</definedName>
    <definedName name="solver_rel133" localSheetId="4" hidden="1">3</definedName>
    <definedName name="solver_rel133" localSheetId="3" hidden="1">3</definedName>
    <definedName name="solver_rel134" localSheetId="4" hidden="1">1</definedName>
    <definedName name="solver_rel134" localSheetId="3" hidden="1">1</definedName>
    <definedName name="solver_rel135" localSheetId="4" hidden="1">3</definedName>
    <definedName name="solver_rel135" localSheetId="3" hidden="1">3</definedName>
    <definedName name="solver_rel136" localSheetId="4" hidden="1">1</definedName>
    <definedName name="solver_rel136" localSheetId="3" hidden="1">1</definedName>
    <definedName name="solver_rel137" localSheetId="4" hidden="1">3</definedName>
    <definedName name="solver_rel137" localSheetId="3" hidden="1">3</definedName>
    <definedName name="solver_rel138" localSheetId="4" hidden="1">1</definedName>
    <definedName name="solver_rel138" localSheetId="3" hidden="1">1</definedName>
    <definedName name="solver_rel139" localSheetId="4" hidden="1">3</definedName>
    <definedName name="solver_rel139" localSheetId="3" hidden="1">3</definedName>
    <definedName name="solver_rel14" localSheetId="4" hidden="1">1</definedName>
    <definedName name="solver_rel14" localSheetId="3" hidden="1">1</definedName>
    <definedName name="solver_rel140" localSheetId="4" hidden="1">1</definedName>
    <definedName name="solver_rel140" localSheetId="3" hidden="1">1</definedName>
    <definedName name="solver_rel141" localSheetId="4" hidden="1">3</definedName>
    <definedName name="solver_rel141" localSheetId="3" hidden="1">3</definedName>
    <definedName name="solver_rel142" localSheetId="4" hidden="1">1</definedName>
    <definedName name="solver_rel142" localSheetId="3" hidden="1">1</definedName>
    <definedName name="solver_rel143" localSheetId="4" hidden="1">3</definedName>
    <definedName name="solver_rel143" localSheetId="3" hidden="1">3</definedName>
    <definedName name="solver_rel144" localSheetId="4" hidden="1">1</definedName>
    <definedName name="solver_rel144" localSheetId="3" hidden="1">1</definedName>
    <definedName name="solver_rel145" localSheetId="4" hidden="1">3</definedName>
    <definedName name="solver_rel145" localSheetId="3" hidden="1">3</definedName>
    <definedName name="solver_rel146" localSheetId="4" hidden="1">1</definedName>
    <definedName name="solver_rel146" localSheetId="3" hidden="1">1</definedName>
    <definedName name="solver_rel147" localSheetId="4" hidden="1">3</definedName>
    <definedName name="solver_rel147" localSheetId="3" hidden="1">3</definedName>
    <definedName name="solver_rel148" localSheetId="4" hidden="1">1</definedName>
    <definedName name="solver_rel148" localSheetId="3" hidden="1">1</definedName>
    <definedName name="solver_rel149" localSheetId="4" hidden="1">3</definedName>
    <definedName name="solver_rel149" localSheetId="3" hidden="1">3</definedName>
    <definedName name="solver_rel15" localSheetId="4" hidden="1">3</definedName>
    <definedName name="solver_rel15" localSheetId="3" hidden="1">3</definedName>
    <definedName name="solver_rel150" localSheetId="4" hidden="1">1</definedName>
    <definedName name="solver_rel150" localSheetId="3" hidden="1">1</definedName>
    <definedName name="solver_rel151" localSheetId="4" hidden="1">3</definedName>
    <definedName name="solver_rel151" localSheetId="3" hidden="1">3</definedName>
    <definedName name="solver_rel152" localSheetId="4" hidden="1">1</definedName>
    <definedName name="solver_rel152" localSheetId="3" hidden="1">1</definedName>
    <definedName name="solver_rel153" localSheetId="4" hidden="1">3</definedName>
    <definedName name="solver_rel153" localSheetId="3" hidden="1">3</definedName>
    <definedName name="solver_rel154" localSheetId="4" hidden="1">1</definedName>
    <definedName name="solver_rel154" localSheetId="3" hidden="1">1</definedName>
    <definedName name="solver_rel155" localSheetId="4" hidden="1">3</definedName>
    <definedName name="solver_rel155" localSheetId="3" hidden="1">3</definedName>
    <definedName name="solver_rel156" localSheetId="4" hidden="1">1</definedName>
    <definedName name="solver_rel156" localSheetId="3" hidden="1">1</definedName>
    <definedName name="solver_rel157" localSheetId="4" hidden="1">3</definedName>
    <definedName name="solver_rel157" localSheetId="3" hidden="1">3</definedName>
    <definedName name="solver_rel158" localSheetId="4" hidden="1">1</definedName>
    <definedName name="solver_rel158" localSheetId="3" hidden="1">1</definedName>
    <definedName name="solver_rel159" localSheetId="4" hidden="1">3</definedName>
    <definedName name="solver_rel159" localSheetId="3" hidden="1">3</definedName>
    <definedName name="solver_rel16" localSheetId="4" hidden="1">1</definedName>
    <definedName name="solver_rel16" localSheetId="3" hidden="1">1</definedName>
    <definedName name="solver_rel160" localSheetId="4" hidden="1">1</definedName>
    <definedName name="solver_rel160" localSheetId="3" hidden="1">1</definedName>
    <definedName name="solver_rel161" localSheetId="4" hidden="1">3</definedName>
    <definedName name="solver_rel161" localSheetId="3" hidden="1">3</definedName>
    <definedName name="solver_rel162" localSheetId="4" hidden="1">1</definedName>
    <definedName name="solver_rel162" localSheetId="3" hidden="1">1</definedName>
    <definedName name="solver_rel163" localSheetId="4" hidden="1">3</definedName>
    <definedName name="solver_rel163" localSheetId="3" hidden="1">3</definedName>
    <definedName name="solver_rel164" localSheetId="4" hidden="1">1</definedName>
    <definedName name="solver_rel164" localSheetId="3" hidden="1">1</definedName>
    <definedName name="solver_rel165" localSheetId="4" hidden="1">3</definedName>
    <definedName name="solver_rel165" localSheetId="3" hidden="1">3</definedName>
    <definedName name="solver_rel166" localSheetId="4" hidden="1">1</definedName>
    <definedName name="solver_rel166" localSheetId="3" hidden="1">1</definedName>
    <definedName name="solver_rel167" localSheetId="4" hidden="1">3</definedName>
    <definedName name="solver_rel167" localSheetId="3" hidden="1">3</definedName>
    <definedName name="solver_rel168" localSheetId="4" hidden="1">1</definedName>
    <definedName name="solver_rel168" localSheetId="3" hidden="1">1</definedName>
    <definedName name="solver_rel169" localSheetId="4" hidden="1">3</definedName>
    <definedName name="solver_rel169" localSheetId="3" hidden="1">3</definedName>
    <definedName name="solver_rel17" localSheetId="4" hidden="1">3</definedName>
    <definedName name="solver_rel17" localSheetId="3" hidden="1">3</definedName>
    <definedName name="solver_rel170" localSheetId="4" hidden="1">1</definedName>
    <definedName name="solver_rel170" localSheetId="3" hidden="1">1</definedName>
    <definedName name="solver_rel171" localSheetId="4" hidden="1">3</definedName>
    <definedName name="solver_rel171" localSheetId="3" hidden="1">3</definedName>
    <definedName name="solver_rel172" localSheetId="4" hidden="1">1</definedName>
    <definedName name="solver_rel172" localSheetId="3" hidden="1">1</definedName>
    <definedName name="solver_rel173" localSheetId="4" hidden="1">3</definedName>
    <definedName name="solver_rel173" localSheetId="3" hidden="1">3</definedName>
    <definedName name="solver_rel174" localSheetId="4" hidden="1">1</definedName>
    <definedName name="solver_rel174" localSheetId="3" hidden="1">1</definedName>
    <definedName name="solver_rel175" localSheetId="4" hidden="1">3</definedName>
    <definedName name="solver_rel175" localSheetId="3" hidden="1">3</definedName>
    <definedName name="solver_rel176" localSheetId="4" hidden="1">1</definedName>
    <definedName name="solver_rel176" localSheetId="3" hidden="1">1</definedName>
    <definedName name="solver_rel177" localSheetId="4" hidden="1">3</definedName>
    <definedName name="solver_rel177" localSheetId="3" hidden="1">3</definedName>
    <definedName name="solver_rel178" localSheetId="4" hidden="1">1</definedName>
    <definedName name="solver_rel178" localSheetId="3" hidden="1">1</definedName>
    <definedName name="solver_rel179" localSheetId="4" hidden="1">3</definedName>
    <definedName name="solver_rel179" localSheetId="3" hidden="1">3</definedName>
    <definedName name="solver_rel18" localSheetId="4" hidden="1">1</definedName>
    <definedName name="solver_rel18" localSheetId="3" hidden="1">1</definedName>
    <definedName name="solver_rel180" localSheetId="4" hidden="1">1</definedName>
    <definedName name="solver_rel180" localSheetId="3" hidden="1">1</definedName>
    <definedName name="solver_rel181" localSheetId="4" hidden="1">3</definedName>
    <definedName name="solver_rel181" localSheetId="3" hidden="1">3</definedName>
    <definedName name="solver_rel182" localSheetId="4" hidden="1">1</definedName>
    <definedName name="solver_rel182" localSheetId="3" hidden="1">1</definedName>
    <definedName name="solver_rel183" localSheetId="4" hidden="1">3</definedName>
    <definedName name="solver_rel183" localSheetId="3" hidden="1">3</definedName>
    <definedName name="solver_rel184" localSheetId="4" hidden="1">1</definedName>
    <definedName name="solver_rel184" localSheetId="3" hidden="1">1</definedName>
    <definedName name="solver_rel185" localSheetId="4" hidden="1">3</definedName>
    <definedName name="solver_rel185" localSheetId="3" hidden="1">3</definedName>
    <definedName name="solver_rel186" localSheetId="4" hidden="1">1</definedName>
    <definedName name="solver_rel186" localSheetId="3" hidden="1">1</definedName>
    <definedName name="solver_rel187" localSheetId="4" hidden="1">3</definedName>
    <definedName name="solver_rel187" localSheetId="3" hidden="1">3</definedName>
    <definedName name="solver_rel188" localSheetId="4" hidden="1">1</definedName>
    <definedName name="solver_rel188" localSheetId="3" hidden="1">1</definedName>
    <definedName name="solver_rel189" localSheetId="4" hidden="1">3</definedName>
    <definedName name="solver_rel189" localSheetId="3" hidden="1">3</definedName>
    <definedName name="solver_rel19" localSheetId="4" hidden="1">3</definedName>
    <definedName name="solver_rel19" localSheetId="3" hidden="1">3</definedName>
    <definedName name="solver_rel190" localSheetId="4" hidden="1">1</definedName>
    <definedName name="solver_rel190" localSheetId="3" hidden="1">1</definedName>
    <definedName name="solver_rel191" localSheetId="4" hidden="1">3</definedName>
    <definedName name="solver_rel191" localSheetId="3" hidden="1">3</definedName>
    <definedName name="solver_rel192" localSheetId="4" hidden="1">1</definedName>
    <definedName name="solver_rel192" localSheetId="3" hidden="1">1</definedName>
    <definedName name="solver_rel193" localSheetId="4" hidden="1">3</definedName>
    <definedName name="solver_rel193" localSheetId="3" hidden="1">3</definedName>
    <definedName name="solver_rel194" localSheetId="4" hidden="1">1</definedName>
    <definedName name="solver_rel194" localSheetId="3" hidden="1">1</definedName>
    <definedName name="solver_rel195" localSheetId="4" hidden="1">3</definedName>
    <definedName name="solver_rel195" localSheetId="3" hidden="1">3</definedName>
    <definedName name="solver_rel196" localSheetId="4" hidden="1">1</definedName>
    <definedName name="solver_rel196" localSheetId="3" hidden="1">1</definedName>
    <definedName name="solver_rel197" localSheetId="4" hidden="1">3</definedName>
    <definedName name="solver_rel197" localSheetId="3" hidden="1">3</definedName>
    <definedName name="solver_rel198" localSheetId="4" hidden="1">1</definedName>
    <definedName name="solver_rel198" localSheetId="3" hidden="1">1</definedName>
    <definedName name="solver_rel199" localSheetId="4" hidden="1">3</definedName>
    <definedName name="solver_rel199" localSheetId="3" hidden="1">3</definedName>
    <definedName name="solver_rel2" localSheetId="4" hidden="1">1</definedName>
    <definedName name="solver_rel2" localSheetId="3" hidden="1">3</definedName>
    <definedName name="solver_rel20" localSheetId="4" hidden="1">1</definedName>
    <definedName name="solver_rel20" localSheetId="3" hidden="1">1</definedName>
    <definedName name="solver_rel200" localSheetId="4" hidden="1">1</definedName>
    <definedName name="solver_rel200" localSheetId="3" hidden="1">1</definedName>
    <definedName name="solver_rel201" localSheetId="4" hidden="1">3</definedName>
    <definedName name="solver_rel201" localSheetId="3" hidden="1">3</definedName>
    <definedName name="solver_rel202" localSheetId="4" hidden="1">1</definedName>
    <definedName name="solver_rel202" localSheetId="3" hidden="1">1</definedName>
    <definedName name="solver_rel203" localSheetId="4" hidden="1">3</definedName>
    <definedName name="solver_rel203" localSheetId="3" hidden="1">3</definedName>
    <definedName name="solver_rel204" localSheetId="4" hidden="1">1</definedName>
    <definedName name="solver_rel204" localSheetId="3" hidden="1">1</definedName>
    <definedName name="solver_rel205" localSheetId="4" hidden="1">3</definedName>
    <definedName name="solver_rel205" localSheetId="3" hidden="1">3</definedName>
    <definedName name="solver_rel206" localSheetId="4" hidden="1">1</definedName>
    <definedName name="solver_rel206" localSheetId="3" hidden="1">1</definedName>
    <definedName name="solver_rel207" localSheetId="4" hidden="1">3</definedName>
    <definedName name="solver_rel207" localSheetId="3" hidden="1">3</definedName>
    <definedName name="solver_rel208" localSheetId="4" hidden="1">1</definedName>
    <definedName name="solver_rel208" localSheetId="3" hidden="1">1</definedName>
    <definedName name="solver_rel209" localSheetId="4" hidden="1">3</definedName>
    <definedName name="solver_rel209" localSheetId="3" hidden="1">3</definedName>
    <definedName name="solver_rel21" localSheetId="4" hidden="1">3</definedName>
    <definedName name="solver_rel21" localSheetId="3" hidden="1">3</definedName>
    <definedName name="solver_rel210" localSheetId="4" hidden="1">1</definedName>
    <definedName name="solver_rel210" localSheetId="3" hidden="1">1</definedName>
    <definedName name="solver_rel211" localSheetId="4" hidden="1">3</definedName>
    <definedName name="solver_rel211" localSheetId="3" hidden="1">3</definedName>
    <definedName name="solver_rel212" localSheetId="4" hidden="1">1</definedName>
    <definedName name="solver_rel212" localSheetId="3" hidden="1">1</definedName>
    <definedName name="solver_rel213" localSheetId="4" hidden="1">3</definedName>
    <definedName name="solver_rel213" localSheetId="3" hidden="1">3</definedName>
    <definedName name="solver_rel214" localSheetId="4" hidden="1">1</definedName>
    <definedName name="solver_rel214" localSheetId="3" hidden="1">1</definedName>
    <definedName name="solver_rel215" localSheetId="4" hidden="1">3</definedName>
    <definedName name="solver_rel215" localSheetId="3" hidden="1">3</definedName>
    <definedName name="solver_rel216" localSheetId="4" hidden="1">1</definedName>
    <definedName name="solver_rel216" localSheetId="3" hidden="1">1</definedName>
    <definedName name="solver_rel217" localSheetId="4" hidden="1">3</definedName>
    <definedName name="solver_rel217" localSheetId="3" hidden="1">3</definedName>
    <definedName name="solver_rel218" localSheetId="4" hidden="1">1</definedName>
    <definedName name="solver_rel218" localSheetId="3" hidden="1">1</definedName>
    <definedName name="solver_rel219" localSheetId="4" hidden="1">3</definedName>
    <definedName name="solver_rel219" localSheetId="3" hidden="1">3</definedName>
    <definedName name="solver_rel22" localSheetId="4" hidden="1">1</definedName>
    <definedName name="solver_rel22" localSheetId="3" hidden="1">1</definedName>
    <definedName name="solver_rel220" localSheetId="4" hidden="1">1</definedName>
    <definedName name="solver_rel220" localSheetId="3" hidden="1">1</definedName>
    <definedName name="solver_rel221" localSheetId="4" hidden="1">3</definedName>
    <definedName name="solver_rel221" localSheetId="3" hidden="1">3</definedName>
    <definedName name="solver_rel222" localSheetId="4" hidden="1">1</definedName>
    <definedName name="solver_rel222" localSheetId="3" hidden="1">1</definedName>
    <definedName name="solver_rel223" localSheetId="4" hidden="1">3</definedName>
    <definedName name="solver_rel223" localSheetId="3" hidden="1">3</definedName>
    <definedName name="solver_rel224" localSheetId="4" hidden="1">1</definedName>
    <definedName name="solver_rel224" localSheetId="3" hidden="1">1</definedName>
    <definedName name="solver_rel225" localSheetId="4" hidden="1">3</definedName>
    <definedName name="solver_rel225" localSheetId="3" hidden="1">3</definedName>
    <definedName name="solver_rel226" localSheetId="4" hidden="1">1</definedName>
    <definedName name="solver_rel226" localSheetId="3" hidden="1">1</definedName>
    <definedName name="solver_rel227" localSheetId="4" hidden="1">3</definedName>
    <definedName name="solver_rel227" localSheetId="3" hidden="1">3</definedName>
    <definedName name="solver_rel228" localSheetId="4" hidden="1">1</definedName>
    <definedName name="solver_rel228" localSheetId="3" hidden="1">1</definedName>
    <definedName name="solver_rel229" localSheetId="4" hidden="1">3</definedName>
    <definedName name="solver_rel229" localSheetId="3" hidden="1">3</definedName>
    <definedName name="solver_rel23" localSheetId="4" hidden="1">3</definedName>
    <definedName name="solver_rel23" localSheetId="3" hidden="1">3</definedName>
    <definedName name="solver_rel230" localSheetId="4" hidden="1">1</definedName>
    <definedName name="solver_rel230" localSheetId="3" hidden="1">1</definedName>
    <definedName name="solver_rel231" localSheetId="4" hidden="1">3</definedName>
    <definedName name="solver_rel231" localSheetId="3" hidden="1">3</definedName>
    <definedName name="solver_rel232" localSheetId="4" hidden="1">1</definedName>
    <definedName name="solver_rel232" localSheetId="3" hidden="1">1</definedName>
    <definedName name="solver_rel233" localSheetId="4" hidden="1">3</definedName>
    <definedName name="solver_rel233" localSheetId="3" hidden="1">3</definedName>
    <definedName name="solver_rel234" localSheetId="4" hidden="1">1</definedName>
    <definedName name="solver_rel234" localSheetId="3" hidden="1">1</definedName>
    <definedName name="solver_rel235" localSheetId="4" hidden="1">3</definedName>
    <definedName name="solver_rel235" localSheetId="3" hidden="1">3</definedName>
    <definedName name="solver_rel236" localSheetId="4" hidden="1">1</definedName>
    <definedName name="solver_rel236" localSheetId="3" hidden="1">1</definedName>
    <definedName name="solver_rel237" localSheetId="4" hidden="1">3</definedName>
    <definedName name="solver_rel237" localSheetId="3" hidden="1">3</definedName>
    <definedName name="solver_rel238" localSheetId="4" hidden="1">3</definedName>
    <definedName name="solver_rel238" localSheetId="3" hidden="1">1</definedName>
    <definedName name="solver_rel239" localSheetId="3" hidden="1">3</definedName>
    <definedName name="solver_rel24" localSheetId="4" hidden="1">1</definedName>
    <definedName name="solver_rel24" localSheetId="3" hidden="1">1</definedName>
    <definedName name="solver_rel240" localSheetId="3" hidden="1">1</definedName>
    <definedName name="solver_rel241" localSheetId="3" hidden="1">3</definedName>
    <definedName name="solver_rel242" localSheetId="3" hidden="1">1</definedName>
    <definedName name="solver_rel243" localSheetId="3" hidden="1">3</definedName>
    <definedName name="solver_rel244" localSheetId="3" hidden="1">1</definedName>
    <definedName name="solver_rel245" localSheetId="3" hidden="1">3</definedName>
    <definedName name="solver_rel246" localSheetId="3" hidden="1">1</definedName>
    <definedName name="solver_rel247" localSheetId="3" hidden="1">3</definedName>
    <definedName name="solver_rel248" localSheetId="3" hidden="1">1</definedName>
    <definedName name="solver_rel249" localSheetId="3" hidden="1">3</definedName>
    <definedName name="solver_rel25" localSheetId="4" hidden="1">3</definedName>
    <definedName name="solver_rel25" localSheetId="3" hidden="1">3</definedName>
    <definedName name="solver_rel250" localSheetId="3" hidden="1">1</definedName>
    <definedName name="solver_rel251" localSheetId="3" hidden="1">3</definedName>
    <definedName name="solver_rel252" localSheetId="3" hidden="1">1</definedName>
    <definedName name="solver_rel253" localSheetId="3" hidden="1">3</definedName>
    <definedName name="solver_rel254" localSheetId="3" hidden="1">1</definedName>
    <definedName name="solver_rel255" localSheetId="3" hidden="1">3</definedName>
    <definedName name="solver_rel256" localSheetId="3" hidden="1">1</definedName>
    <definedName name="solver_rel257" localSheetId="3" hidden="1">3</definedName>
    <definedName name="solver_rel258" localSheetId="3" hidden="1">1</definedName>
    <definedName name="solver_rel259" localSheetId="3" hidden="1">3</definedName>
    <definedName name="solver_rel26" localSheetId="4" hidden="1">1</definedName>
    <definedName name="solver_rel26" localSheetId="3" hidden="1">1</definedName>
    <definedName name="solver_rel260" localSheetId="3" hidden="1">1</definedName>
    <definedName name="solver_rel261" localSheetId="3" hidden="1">3</definedName>
    <definedName name="solver_rel262" localSheetId="3" hidden="1">1</definedName>
    <definedName name="solver_rel263" localSheetId="3" hidden="1">3</definedName>
    <definedName name="solver_rel264" localSheetId="3" hidden="1">1</definedName>
    <definedName name="solver_rel265" localSheetId="3" hidden="1">3</definedName>
    <definedName name="solver_rel266" localSheetId="3" hidden="1">1</definedName>
    <definedName name="solver_rel267" localSheetId="3" hidden="1">3</definedName>
    <definedName name="solver_rel268" localSheetId="3" hidden="1">1</definedName>
    <definedName name="solver_rel269" localSheetId="3" hidden="1">3</definedName>
    <definedName name="solver_rel27" localSheetId="4" hidden="1">3</definedName>
    <definedName name="solver_rel27" localSheetId="3" hidden="1">3</definedName>
    <definedName name="solver_rel270" localSheetId="3" hidden="1">1</definedName>
    <definedName name="solver_rel271" localSheetId="3" hidden="1">3</definedName>
    <definedName name="solver_rel272" localSheetId="3" hidden="1">1</definedName>
    <definedName name="solver_rel273" localSheetId="3" hidden="1">3</definedName>
    <definedName name="solver_rel274" localSheetId="3" hidden="1">1</definedName>
    <definedName name="solver_rel275" localSheetId="3" hidden="1">3</definedName>
    <definedName name="solver_rel276" localSheetId="3" hidden="1">1</definedName>
    <definedName name="solver_rel277" localSheetId="3" hidden="1">3</definedName>
    <definedName name="solver_rel278" localSheetId="3" hidden="1">1</definedName>
    <definedName name="solver_rel279" localSheetId="3" hidden="1">3</definedName>
    <definedName name="solver_rel28" localSheetId="4" hidden="1">1</definedName>
    <definedName name="solver_rel28" localSheetId="3" hidden="1">1</definedName>
    <definedName name="solver_rel280" localSheetId="3" hidden="1">1</definedName>
    <definedName name="solver_rel281" localSheetId="3" hidden="1">3</definedName>
    <definedName name="solver_rel282" localSheetId="3" hidden="1">1</definedName>
    <definedName name="solver_rel283" localSheetId="3" hidden="1">3</definedName>
    <definedName name="solver_rel284" localSheetId="3" hidden="1">1</definedName>
    <definedName name="solver_rel285" localSheetId="3" hidden="1">3</definedName>
    <definedName name="solver_rel286" localSheetId="3" hidden="1">1</definedName>
    <definedName name="solver_rel287" localSheetId="3" hidden="1">3</definedName>
    <definedName name="solver_rel288" localSheetId="3" hidden="1">1</definedName>
    <definedName name="solver_rel289" localSheetId="3" hidden="1">3</definedName>
    <definedName name="solver_rel29" localSheetId="4" hidden="1">3</definedName>
    <definedName name="solver_rel29" localSheetId="3" hidden="1">3</definedName>
    <definedName name="solver_rel290" localSheetId="3" hidden="1">1</definedName>
    <definedName name="solver_rel291" localSheetId="3" hidden="1">3</definedName>
    <definedName name="solver_rel292" localSheetId="3" hidden="1">1</definedName>
    <definedName name="solver_rel293" localSheetId="3" hidden="1">3</definedName>
    <definedName name="solver_rel294" localSheetId="3" hidden="1">1</definedName>
    <definedName name="solver_rel295" localSheetId="3" hidden="1">3</definedName>
    <definedName name="solver_rel296" localSheetId="3" hidden="1">1</definedName>
    <definedName name="solver_rel297" localSheetId="3" hidden="1">3</definedName>
    <definedName name="solver_rel298" localSheetId="3" hidden="1">1</definedName>
    <definedName name="solver_rel299" localSheetId="3" hidden="1">3</definedName>
    <definedName name="solver_rel3" localSheetId="4" hidden="1">3</definedName>
    <definedName name="solver_rel3" localSheetId="3" hidden="1">3</definedName>
    <definedName name="solver_rel30" localSheetId="4" hidden="1">1</definedName>
    <definedName name="solver_rel30" localSheetId="3" hidden="1">1</definedName>
    <definedName name="solver_rel300" localSheetId="3" hidden="1">1</definedName>
    <definedName name="solver_rel301" localSheetId="3" hidden="1">3</definedName>
    <definedName name="solver_rel302" localSheetId="3" hidden="1">1</definedName>
    <definedName name="solver_rel303" localSheetId="3" hidden="1">3</definedName>
    <definedName name="solver_rel304" localSheetId="3" hidden="1">1</definedName>
    <definedName name="solver_rel305" localSheetId="3" hidden="1">3</definedName>
    <definedName name="solver_rel306" localSheetId="3" hidden="1">1</definedName>
    <definedName name="solver_rel307" localSheetId="3" hidden="1">3</definedName>
    <definedName name="solver_rel308" localSheetId="3" hidden="1">1</definedName>
    <definedName name="solver_rel309" localSheetId="3" hidden="1">3</definedName>
    <definedName name="solver_rel31" localSheetId="4" hidden="1">3</definedName>
    <definedName name="solver_rel31" localSheetId="3" hidden="1">3</definedName>
    <definedName name="solver_rel310" localSheetId="3" hidden="1">1</definedName>
    <definedName name="solver_rel311" localSheetId="3" hidden="1">3</definedName>
    <definedName name="solver_rel312" localSheetId="3" hidden="1">1</definedName>
    <definedName name="solver_rel313" localSheetId="3" hidden="1">3</definedName>
    <definedName name="solver_rel314" localSheetId="3" hidden="1">1</definedName>
    <definedName name="solver_rel315" localSheetId="3" hidden="1">3</definedName>
    <definedName name="solver_rel316" localSheetId="3" hidden="1">1</definedName>
    <definedName name="solver_rel317" localSheetId="3" hidden="1">3</definedName>
    <definedName name="solver_rel318" localSheetId="3" hidden="1">1</definedName>
    <definedName name="solver_rel319" localSheetId="3" hidden="1">3</definedName>
    <definedName name="solver_rel32" localSheetId="4" hidden="1">1</definedName>
    <definedName name="solver_rel32" localSheetId="3" hidden="1">1</definedName>
    <definedName name="solver_rel320" localSheetId="3" hidden="1">1</definedName>
    <definedName name="solver_rel321" localSheetId="3" hidden="1">3</definedName>
    <definedName name="solver_rel322" localSheetId="3" hidden="1">1</definedName>
    <definedName name="solver_rel323" localSheetId="3" hidden="1">3</definedName>
    <definedName name="solver_rel324" localSheetId="3" hidden="1">1</definedName>
    <definedName name="solver_rel325" localSheetId="3" hidden="1">3</definedName>
    <definedName name="solver_rel326" localSheetId="3" hidden="1">1</definedName>
    <definedName name="solver_rel327" localSheetId="3" hidden="1">3</definedName>
    <definedName name="solver_rel328" localSheetId="3" hidden="1">1</definedName>
    <definedName name="solver_rel329" localSheetId="3" hidden="1">3</definedName>
    <definedName name="solver_rel33" localSheetId="4" hidden="1">3</definedName>
    <definedName name="solver_rel33" localSheetId="3" hidden="1">3</definedName>
    <definedName name="solver_rel330" localSheetId="3" hidden="1">1</definedName>
    <definedName name="solver_rel331" localSheetId="3" hidden="1">3</definedName>
    <definedName name="solver_rel332" localSheetId="3" hidden="1">1</definedName>
    <definedName name="solver_rel34" localSheetId="4" hidden="1">1</definedName>
    <definedName name="solver_rel34" localSheetId="3" hidden="1">1</definedName>
    <definedName name="solver_rel35" localSheetId="4" hidden="1">3</definedName>
    <definedName name="solver_rel35" localSheetId="3" hidden="1">3</definedName>
    <definedName name="solver_rel36" localSheetId="4" hidden="1">1</definedName>
    <definedName name="solver_rel36" localSheetId="3" hidden="1">1</definedName>
    <definedName name="solver_rel37" localSheetId="4" hidden="1">3</definedName>
    <definedName name="solver_rel37" localSheetId="3" hidden="1">3</definedName>
    <definedName name="solver_rel38" localSheetId="4" hidden="1">1</definedName>
    <definedName name="solver_rel38" localSheetId="3" hidden="1">1</definedName>
    <definedName name="solver_rel39" localSheetId="4" hidden="1">3</definedName>
    <definedName name="solver_rel39" localSheetId="3" hidden="1">3</definedName>
    <definedName name="solver_rel4" localSheetId="4" hidden="1">1</definedName>
    <definedName name="solver_rel4" localSheetId="3" hidden="1">1</definedName>
    <definedName name="solver_rel40" localSheetId="4" hidden="1">1</definedName>
    <definedName name="solver_rel40" localSheetId="3" hidden="1">1</definedName>
    <definedName name="solver_rel41" localSheetId="4" hidden="1">3</definedName>
    <definedName name="solver_rel41" localSheetId="3" hidden="1">3</definedName>
    <definedName name="solver_rel42" localSheetId="4" hidden="1">1</definedName>
    <definedName name="solver_rel42" localSheetId="3" hidden="1">1</definedName>
    <definedName name="solver_rel43" localSheetId="4" hidden="1">3</definedName>
    <definedName name="solver_rel43" localSheetId="3" hidden="1">3</definedName>
    <definedName name="solver_rel44" localSheetId="4" hidden="1">1</definedName>
    <definedName name="solver_rel44" localSheetId="3" hidden="1">1</definedName>
    <definedName name="solver_rel45" localSheetId="4" hidden="1">3</definedName>
    <definedName name="solver_rel45" localSheetId="3" hidden="1">3</definedName>
    <definedName name="solver_rel46" localSheetId="4" hidden="1">1</definedName>
    <definedName name="solver_rel46" localSheetId="3" hidden="1">1</definedName>
    <definedName name="solver_rel47" localSheetId="4" hidden="1">3</definedName>
    <definedName name="solver_rel47" localSheetId="3" hidden="1">3</definedName>
    <definedName name="solver_rel48" localSheetId="4" hidden="1">1</definedName>
    <definedName name="solver_rel48" localSheetId="3" hidden="1">1</definedName>
    <definedName name="solver_rel49" localSheetId="4" hidden="1">3</definedName>
    <definedName name="solver_rel49" localSheetId="3" hidden="1">3</definedName>
    <definedName name="solver_rel5" localSheetId="4" hidden="1">3</definedName>
    <definedName name="solver_rel5" localSheetId="3" hidden="1">3</definedName>
    <definedName name="solver_rel50" localSheetId="4" hidden="1">1</definedName>
    <definedName name="solver_rel50" localSheetId="3" hidden="1">1</definedName>
    <definedName name="solver_rel51" localSheetId="4" hidden="1">3</definedName>
    <definedName name="solver_rel51" localSheetId="3" hidden="1">3</definedName>
    <definedName name="solver_rel52" localSheetId="4" hidden="1">1</definedName>
    <definedName name="solver_rel52" localSheetId="3" hidden="1">1</definedName>
    <definedName name="solver_rel53" localSheetId="4" hidden="1">3</definedName>
    <definedName name="solver_rel53" localSheetId="3" hidden="1">3</definedName>
    <definedName name="solver_rel54" localSheetId="4" hidden="1">1</definedName>
    <definedName name="solver_rel54" localSheetId="3" hidden="1">1</definedName>
    <definedName name="solver_rel55" localSheetId="4" hidden="1">3</definedName>
    <definedName name="solver_rel55" localSheetId="3" hidden="1">3</definedName>
    <definedName name="solver_rel56" localSheetId="4" hidden="1">1</definedName>
    <definedName name="solver_rel56" localSheetId="3" hidden="1">1</definedName>
    <definedName name="solver_rel57" localSheetId="4" hidden="1">3</definedName>
    <definedName name="solver_rel57" localSheetId="3" hidden="1">3</definedName>
    <definedName name="solver_rel58" localSheetId="4" hidden="1">1</definedName>
    <definedName name="solver_rel58" localSheetId="3" hidden="1">1</definedName>
    <definedName name="solver_rel59" localSheetId="4" hidden="1">3</definedName>
    <definedName name="solver_rel59" localSheetId="3" hidden="1">3</definedName>
    <definedName name="solver_rel6" localSheetId="4" hidden="1">1</definedName>
    <definedName name="solver_rel6" localSheetId="3" hidden="1">1</definedName>
    <definedName name="solver_rel60" localSheetId="4" hidden="1">1</definedName>
    <definedName name="solver_rel60" localSheetId="3" hidden="1">1</definedName>
    <definedName name="solver_rel61" localSheetId="4" hidden="1">3</definedName>
    <definedName name="solver_rel61" localSheetId="3" hidden="1">3</definedName>
    <definedName name="solver_rel62" localSheetId="4" hidden="1">1</definedName>
    <definedName name="solver_rel62" localSheetId="3" hidden="1">1</definedName>
    <definedName name="solver_rel63" localSheetId="4" hidden="1">3</definedName>
    <definedName name="solver_rel63" localSheetId="3" hidden="1">3</definedName>
    <definedName name="solver_rel64" localSheetId="4" hidden="1">1</definedName>
    <definedName name="solver_rel64" localSheetId="3" hidden="1">1</definedName>
    <definedName name="solver_rel65" localSheetId="4" hidden="1">3</definedName>
    <definedName name="solver_rel65" localSheetId="3" hidden="1">3</definedName>
    <definedName name="solver_rel66" localSheetId="4" hidden="1">1</definedName>
    <definedName name="solver_rel66" localSheetId="3" hidden="1">1</definedName>
    <definedName name="solver_rel67" localSheetId="4" hidden="1">3</definedName>
    <definedName name="solver_rel67" localSheetId="3" hidden="1">3</definedName>
    <definedName name="solver_rel68" localSheetId="4" hidden="1">1</definedName>
    <definedName name="solver_rel68" localSheetId="3" hidden="1">1</definedName>
    <definedName name="solver_rel69" localSheetId="4" hidden="1">3</definedName>
    <definedName name="solver_rel69" localSheetId="3" hidden="1">3</definedName>
    <definedName name="solver_rel7" localSheetId="4" hidden="1">3</definedName>
    <definedName name="solver_rel7" localSheetId="3" hidden="1">3</definedName>
    <definedName name="solver_rel70" localSheetId="4" hidden="1">1</definedName>
    <definedName name="solver_rel70" localSheetId="3" hidden="1">1</definedName>
    <definedName name="solver_rel71" localSheetId="4" hidden="1">3</definedName>
    <definedName name="solver_rel71" localSheetId="3" hidden="1">3</definedName>
    <definedName name="solver_rel72" localSheetId="4" hidden="1">1</definedName>
    <definedName name="solver_rel72" localSheetId="3" hidden="1">1</definedName>
    <definedName name="solver_rel73" localSheetId="4" hidden="1">3</definedName>
    <definedName name="solver_rel73" localSheetId="3" hidden="1">3</definedName>
    <definedName name="solver_rel74" localSheetId="4" hidden="1">1</definedName>
    <definedName name="solver_rel74" localSheetId="3" hidden="1">1</definedName>
    <definedName name="solver_rel75" localSheetId="4" hidden="1">3</definedName>
    <definedName name="solver_rel75" localSheetId="3" hidden="1">3</definedName>
    <definedName name="solver_rel76" localSheetId="4" hidden="1">1</definedName>
    <definedName name="solver_rel76" localSheetId="3" hidden="1">1</definedName>
    <definedName name="solver_rel77" localSheetId="4" hidden="1">3</definedName>
    <definedName name="solver_rel77" localSheetId="3" hidden="1">3</definedName>
    <definedName name="solver_rel78" localSheetId="4" hidden="1">1</definedName>
    <definedName name="solver_rel78" localSheetId="3" hidden="1">1</definedName>
    <definedName name="solver_rel79" localSheetId="4" hidden="1">3</definedName>
    <definedName name="solver_rel79" localSheetId="3" hidden="1">3</definedName>
    <definedName name="solver_rel8" localSheetId="4" hidden="1">1</definedName>
    <definedName name="solver_rel8" localSheetId="3" hidden="1">1</definedName>
    <definedName name="solver_rel80" localSheetId="4" hidden="1">1</definedName>
    <definedName name="solver_rel80" localSheetId="3" hidden="1">1</definedName>
    <definedName name="solver_rel81" localSheetId="4" hidden="1">3</definedName>
    <definedName name="solver_rel81" localSheetId="3" hidden="1">3</definedName>
    <definedName name="solver_rel82" localSheetId="4" hidden="1">1</definedName>
    <definedName name="solver_rel82" localSheetId="3" hidden="1">1</definedName>
    <definedName name="solver_rel83" localSheetId="4" hidden="1">3</definedName>
    <definedName name="solver_rel83" localSheetId="3" hidden="1">3</definedName>
    <definedName name="solver_rel84" localSheetId="4" hidden="1">1</definedName>
    <definedName name="solver_rel84" localSheetId="3" hidden="1">1</definedName>
    <definedName name="solver_rel85" localSheetId="4" hidden="1">3</definedName>
    <definedName name="solver_rel85" localSheetId="3" hidden="1">3</definedName>
    <definedName name="solver_rel86" localSheetId="4" hidden="1">1</definedName>
    <definedName name="solver_rel86" localSheetId="3" hidden="1">1</definedName>
    <definedName name="solver_rel87" localSheetId="4" hidden="1">3</definedName>
    <definedName name="solver_rel87" localSheetId="3" hidden="1">3</definedName>
    <definedName name="solver_rel88" localSheetId="4" hidden="1">1</definedName>
    <definedName name="solver_rel88" localSheetId="3" hidden="1">1</definedName>
    <definedName name="solver_rel89" localSheetId="4" hidden="1">3</definedName>
    <definedName name="solver_rel89" localSheetId="3" hidden="1">3</definedName>
    <definedName name="solver_rel9" localSheetId="4" hidden="1">3</definedName>
    <definedName name="solver_rel9" localSheetId="3" hidden="1">3</definedName>
    <definedName name="solver_rel90" localSheetId="4" hidden="1">1</definedName>
    <definedName name="solver_rel90" localSheetId="3" hidden="1">1</definedName>
    <definedName name="solver_rel91" localSheetId="4" hidden="1">3</definedName>
    <definedName name="solver_rel91" localSheetId="3" hidden="1">3</definedName>
    <definedName name="solver_rel92" localSheetId="4" hidden="1">1</definedName>
    <definedName name="solver_rel92" localSheetId="3" hidden="1">1</definedName>
    <definedName name="solver_rel93" localSheetId="4" hidden="1">3</definedName>
    <definedName name="solver_rel93" localSheetId="3" hidden="1">3</definedName>
    <definedName name="solver_rel94" localSheetId="4" hidden="1">1</definedName>
    <definedName name="solver_rel94" localSheetId="3" hidden="1">1</definedName>
    <definedName name="solver_rel95" localSheetId="4" hidden="1">3</definedName>
    <definedName name="solver_rel95" localSheetId="3" hidden="1">3</definedName>
    <definedName name="solver_rel96" localSheetId="4" hidden="1">1</definedName>
    <definedName name="solver_rel96" localSheetId="3" hidden="1">1</definedName>
    <definedName name="solver_rel97" localSheetId="4" hidden="1">3</definedName>
    <definedName name="solver_rel97" localSheetId="3" hidden="1">3</definedName>
    <definedName name="solver_rel98" localSheetId="4" hidden="1">1</definedName>
    <definedName name="solver_rel98" localSheetId="3" hidden="1">1</definedName>
    <definedName name="solver_rel99" localSheetId="4" hidden="1">3</definedName>
    <definedName name="solver_rel99" localSheetId="3" hidden="1">3</definedName>
    <definedName name="solver_rhs1" localSheetId="4" hidden="1">0</definedName>
    <definedName name="solver_rhs1" localSheetId="3" hidden="1">1</definedName>
    <definedName name="solver_rhs10" localSheetId="4" hidden="1">1</definedName>
    <definedName name="solver_rhs10" localSheetId="3" hidden="1">1</definedName>
    <definedName name="solver_rhs100" localSheetId="4" hidden="1">1</definedName>
    <definedName name="solver_rhs100" localSheetId="3" hidden="1">1</definedName>
    <definedName name="solver_rhs101" localSheetId="4" hidden="1">0</definedName>
    <definedName name="solver_rhs101" localSheetId="3" hidden="1">0</definedName>
    <definedName name="solver_rhs102" localSheetId="4" hidden="1">1</definedName>
    <definedName name="solver_rhs102" localSheetId="3" hidden="1">1</definedName>
    <definedName name="solver_rhs103" localSheetId="4" hidden="1">0</definedName>
    <definedName name="solver_rhs103" localSheetId="3" hidden="1">0</definedName>
    <definedName name="solver_rhs104" localSheetId="4" hidden="1">1</definedName>
    <definedName name="solver_rhs104" localSheetId="3" hidden="1">1</definedName>
    <definedName name="solver_rhs105" localSheetId="4" hidden="1">0</definedName>
    <definedName name="solver_rhs105" localSheetId="3" hidden="1">0</definedName>
    <definedName name="solver_rhs106" localSheetId="4" hidden="1">1</definedName>
    <definedName name="solver_rhs106" localSheetId="3" hidden="1">1</definedName>
    <definedName name="solver_rhs107" localSheetId="4" hidden="1">0</definedName>
    <definedName name="solver_rhs107" localSheetId="3" hidden="1">0</definedName>
    <definedName name="solver_rhs108" localSheetId="4" hidden="1">1</definedName>
    <definedName name="solver_rhs108" localSheetId="3" hidden="1">1</definedName>
    <definedName name="solver_rhs109" localSheetId="4" hidden="1">0</definedName>
    <definedName name="solver_rhs109" localSheetId="3" hidden="1">0</definedName>
    <definedName name="solver_rhs11" localSheetId="4" hidden="1">0</definedName>
    <definedName name="solver_rhs11" localSheetId="3" hidden="1">0</definedName>
    <definedName name="solver_rhs110" localSheetId="4" hidden="1">1</definedName>
    <definedName name="solver_rhs110" localSheetId="3" hidden="1">1</definedName>
    <definedName name="solver_rhs111" localSheetId="4" hidden="1">0</definedName>
    <definedName name="solver_rhs111" localSheetId="3" hidden="1">0</definedName>
    <definedName name="solver_rhs112" localSheetId="4" hidden="1">1</definedName>
    <definedName name="solver_rhs112" localSheetId="3" hidden="1">1</definedName>
    <definedName name="solver_rhs113" localSheetId="4" hidden="1">0</definedName>
    <definedName name="solver_rhs113" localSheetId="3" hidden="1">0</definedName>
    <definedName name="solver_rhs114" localSheetId="4" hidden="1">1</definedName>
    <definedName name="solver_rhs114" localSheetId="3" hidden="1">1</definedName>
    <definedName name="solver_rhs115" localSheetId="4" hidden="1">0</definedName>
    <definedName name="solver_rhs115" localSheetId="3" hidden="1">0</definedName>
    <definedName name="solver_rhs116" localSheetId="4" hidden="1">1</definedName>
    <definedName name="solver_rhs116" localSheetId="3" hidden="1">1</definedName>
    <definedName name="solver_rhs117" localSheetId="4" hidden="1">0</definedName>
    <definedName name="solver_rhs117" localSheetId="3" hidden="1">0</definedName>
    <definedName name="solver_rhs118" localSheetId="4" hidden="1">1</definedName>
    <definedName name="solver_rhs118" localSheetId="3" hidden="1">1</definedName>
    <definedName name="solver_rhs119" localSheetId="4" hidden="1">0</definedName>
    <definedName name="solver_rhs119" localSheetId="3" hidden="1">0</definedName>
    <definedName name="solver_rhs12" localSheetId="4" hidden="1">1</definedName>
    <definedName name="solver_rhs12" localSheetId="3" hidden="1">1</definedName>
    <definedName name="solver_rhs120" localSheetId="4" hidden="1">1</definedName>
    <definedName name="solver_rhs120" localSheetId="3" hidden="1">1</definedName>
    <definedName name="solver_rhs121" localSheetId="4" hidden="1">0</definedName>
    <definedName name="solver_rhs121" localSheetId="3" hidden="1">0</definedName>
    <definedName name="solver_rhs122" localSheetId="4" hidden="1">1</definedName>
    <definedName name="solver_rhs122" localSheetId="3" hidden="1">1</definedName>
    <definedName name="solver_rhs123" localSheetId="4" hidden="1">0</definedName>
    <definedName name="solver_rhs123" localSheetId="3" hidden="1">0</definedName>
    <definedName name="solver_rhs124" localSheetId="4" hidden="1">1</definedName>
    <definedName name="solver_rhs124" localSheetId="3" hidden="1">1</definedName>
    <definedName name="solver_rhs125" localSheetId="4" hidden="1">0</definedName>
    <definedName name="solver_rhs125" localSheetId="3" hidden="1">0</definedName>
    <definedName name="solver_rhs126" localSheetId="4" hidden="1">1</definedName>
    <definedName name="solver_rhs126" localSheetId="3" hidden="1">1</definedName>
    <definedName name="solver_rhs127" localSheetId="4" hidden="1">0</definedName>
    <definedName name="solver_rhs127" localSheetId="3" hidden="1">0</definedName>
    <definedName name="solver_rhs128" localSheetId="4" hidden="1">1</definedName>
    <definedName name="solver_rhs128" localSheetId="3" hidden="1">1</definedName>
    <definedName name="solver_rhs129" localSheetId="4" hidden="1">0</definedName>
    <definedName name="solver_rhs129" localSheetId="3" hidden="1">0</definedName>
    <definedName name="solver_rhs13" localSheetId="4" hidden="1">0</definedName>
    <definedName name="solver_rhs13" localSheetId="3" hidden="1">0</definedName>
    <definedName name="solver_rhs130" localSheetId="4" hidden="1">1</definedName>
    <definedName name="solver_rhs130" localSheetId="3" hidden="1">1</definedName>
    <definedName name="solver_rhs131" localSheetId="4" hidden="1">0</definedName>
    <definedName name="solver_rhs131" localSheetId="3" hidden="1">0</definedName>
    <definedName name="solver_rhs132" localSheetId="4" hidden="1">1</definedName>
    <definedName name="solver_rhs132" localSheetId="3" hidden="1">1</definedName>
    <definedName name="solver_rhs133" localSheetId="4" hidden="1">0</definedName>
    <definedName name="solver_rhs133" localSheetId="3" hidden="1">0</definedName>
    <definedName name="solver_rhs134" localSheetId="4" hidden="1">1</definedName>
    <definedName name="solver_rhs134" localSheetId="3" hidden="1">1</definedName>
    <definedName name="solver_rhs135" localSheetId="4" hidden="1">0</definedName>
    <definedName name="solver_rhs135" localSheetId="3" hidden="1">0</definedName>
    <definedName name="solver_rhs136" localSheetId="4" hidden="1">1</definedName>
    <definedName name="solver_rhs136" localSheetId="3" hidden="1">1</definedName>
    <definedName name="solver_rhs137" localSheetId="4" hidden="1">0</definedName>
    <definedName name="solver_rhs137" localSheetId="3" hidden="1">0</definedName>
    <definedName name="solver_rhs138" localSheetId="4" hidden="1">1</definedName>
    <definedName name="solver_rhs138" localSheetId="3" hidden="1">1</definedName>
    <definedName name="solver_rhs139" localSheetId="4" hidden="1">0</definedName>
    <definedName name="solver_rhs139" localSheetId="3" hidden="1">0</definedName>
    <definedName name="solver_rhs14" localSheetId="4" hidden="1">1</definedName>
    <definedName name="solver_rhs14" localSheetId="3" hidden="1">1</definedName>
    <definedName name="solver_rhs140" localSheetId="4" hidden="1">1</definedName>
    <definedName name="solver_rhs140" localSheetId="3" hidden="1">1</definedName>
    <definedName name="solver_rhs141" localSheetId="4" hidden="1">0</definedName>
    <definedName name="solver_rhs141" localSheetId="3" hidden="1">0</definedName>
    <definedName name="solver_rhs142" localSheetId="4" hidden="1">1</definedName>
    <definedName name="solver_rhs142" localSheetId="3" hidden="1">1</definedName>
    <definedName name="solver_rhs143" localSheetId="4" hidden="1">0</definedName>
    <definedName name="solver_rhs143" localSheetId="3" hidden="1">0</definedName>
    <definedName name="solver_rhs144" localSheetId="4" hidden="1">1</definedName>
    <definedName name="solver_rhs144" localSheetId="3" hidden="1">1</definedName>
    <definedName name="solver_rhs145" localSheetId="4" hidden="1">0</definedName>
    <definedName name="solver_rhs145" localSheetId="3" hidden="1">0</definedName>
    <definedName name="solver_rhs146" localSheetId="4" hidden="1">1</definedName>
    <definedName name="solver_rhs146" localSheetId="3" hidden="1">1</definedName>
    <definedName name="solver_rhs147" localSheetId="4" hidden="1">0</definedName>
    <definedName name="solver_rhs147" localSheetId="3" hidden="1">0</definedName>
    <definedName name="solver_rhs148" localSheetId="4" hidden="1">1</definedName>
    <definedName name="solver_rhs148" localSheetId="3" hidden="1">1</definedName>
    <definedName name="solver_rhs149" localSheetId="4" hidden="1">0</definedName>
    <definedName name="solver_rhs149" localSheetId="3" hidden="1">0</definedName>
    <definedName name="solver_rhs15" localSheetId="4" hidden="1">0</definedName>
    <definedName name="solver_rhs15" localSheetId="3" hidden="1">0</definedName>
    <definedName name="solver_rhs150" localSheetId="4" hidden="1">1</definedName>
    <definedName name="solver_rhs150" localSheetId="3" hidden="1">1</definedName>
    <definedName name="solver_rhs151" localSheetId="4" hidden="1">0</definedName>
    <definedName name="solver_rhs151" localSheetId="3" hidden="1">0</definedName>
    <definedName name="solver_rhs152" localSheetId="4" hidden="1">1</definedName>
    <definedName name="solver_rhs152" localSheetId="3" hidden="1">1</definedName>
    <definedName name="solver_rhs153" localSheetId="4" hidden="1">0</definedName>
    <definedName name="solver_rhs153" localSheetId="3" hidden="1">0</definedName>
    <definedName name="solver_rhs154" localSheetId="4" hidden="1">1</definedName>
    <definedName name="solver_rhs154" localSheetId="3" hidden="1">1</definedName>
    <definedName name="solver_rhs155" localSheetId="4" hidden="1">0</definedName>
    <definedName name="solver_rhs155" localSheetId="3" hidden="1">0</definedName>
    <definedName name="solver_rhs156" localSheetId="4" hidden="1">1</definedName>
    <definedName name="solver_rhs156" localSheetId="3" hidden="1">1</definedName>
    <definedName name="solver_rhs157" localSheetId="4" hidden="1">0</definedName>
    <definedName name="solver_rhs157" localSheetId="3" hidden="1">0</definedName>
    <definedName name="solver_rhs158" localSheetId="4" hidden="1">1</definedName>
    <definedName name="solver_rhs158" localSheetId="3" hidden="1">1</definedName>
    <definedName name="solver_rhs159" localSheetId="4" hidden="1">0</definedName>
    <definedName name="solver_rhs159" localSheetId="3" hidden="1">0</definedName>
    <definedName name="solver_rhs16" localSheetId="4" hidden="1">1</definedName>
    <definedName name="solver_rhs16" localSheetId="3" hidden="1">1</definedName>
    <definedName name="solver_rhs160" localSheetId="4" hidden="1">1</definedName>
    <definedName name="solver_rhs160" localSheetId="3" hidden="1">1</definedName>
    <definedName name="solver_rhs161" localSheetId="4" hidden="1">0</definedName>
    <definedName name="solver_rhs161" localSheetId="3" hidden="1">0</definedName>
    <definedName name="solver_rhs162" localSheetId="4" hidden="1">1</definedName>
    <definedName name="solver_rhs162" localSheetId="3" hidden="1">1</definedName>
    <definedName name="solver_rhs163" localSheetId="4" hidden="1">0</definedName>
    <definedName name="solver_rhs163" localSheetId="3" hidden="1">0</definedName>
    <definedName name="solver_rhs164" localSheetId="4" hidden="1">1</definedName>
    <definedName name="solver_rhs164" localSheetId="3" hidden="1">1</definedName>
    <definedName name="solver_rhs165" localSheetId="4" hidden="1">0</definedName>
    <definedName name="solver_rhs165" localSheetId="3" hidden="1">0</definedName>
    <definedName name="solver_rhs166" localSheetId="4" hidden="1">1</definedName>
    <definedName name="solver_rhs166" localSheetId="3" hidden="1">1</definedName>
    <definedName name="solver_rhs167" localSheetId="4" hidden="1">0</definedName>
    <definedName name="solver_rhs167" localSheetId="3" hidden="1">0</definedName>
    <definedName name="solver_rhs168" localSheetId="4" hidden="1">1</definedName>
    <definedName name="solver_rhs168" localSheetId="3" hidden="1">1</definedName>
    <definedName name="solver_rhs169" localSheetId="4" hidden="1">0</definedName>
    <definedName name="solver_rhs169" localSheetId="3" hidden="1">0</definedName>
    <definedName name="solver_rhs17" localSheetId="4" hidden="1">0</definedName>
    <definedName name="solver_rhs17" localSheetId="3" hidden="1">0</definedName>
    <definedName name="solver_rhs170" localSheetId="4" hidden="1">1</definedName>
    <definedName name="solver_rhs170" localSheetId="3" hidden="1">1</definedName>
    <definedName name="solver_rhs171" localSheetId="4" hidden="1">0</definedName>
    <definedName name="solver_rhs171" localSheetId="3" hidden="1">0</definedName>
    <definedName name="solver_rhs172" localSheetId="4" hidden="1">1</definedName>
    <definedName name="solver_rhs172" localSheetId="3" hidden="1">1</definedName>
    <definedName name="solver_rhs173" localSheetId="4" hidden="1">0</definedName>
    <definedName name="solver_rhs173" localSheetId="3" hidden="1">0</definedName>
    <definedName name="solver_rhs174" localSheetId="4" hidden="1">1</definedName>
    <definedName name="solver_rhs174" localSheetId="3" hidden="1">1</definedName>
    <definedName name="solver_rhs175" localSheetId="4" hidden="1">0</definedName>
    <definedName name="solver_rhs175" localSheetId="3" hidden="1">0</definedName>
    <definedName name="solver_rhs176" localSheetId="4" hidden="1">1</definedName>
    <definedName name="solver_rhs176" localSheetId="3" hidden="1">1</definedName>
    <definedName name="solver_rhs177" localSheetId="4" hidden="1">0</definedName>
    <definedName name="solver_rhs177" localSheetId="3" hidden="1">0</definedName>
    <definedName name="solver_rhs178" localSheetId="4" hidden="1">1</definedName>
    <definedName name="solver_rhs178" localSheetId="3" hidden="1">1</definedName>
    <definedName name="solver_rhs179" localSheetId="4" hidden="1">0</definedName>
    <definedName name="solver_rhs179" localSheetId="3" hidden="1">0</definedName>
    <definedName name="solver_rhs18" localSheetId="4" hidden="1">1</definedName>
    <definedName name="solver_rhs18" localSheetId="3" hidden="1">1</definedName>
    <definedName name="solver_rhs180" localSheetId="4" hidden="1">1</definedName>
    <definedName name="solver_rhs180" localSheetId="3" hidden="1">1</definedName>
    <definedName name="solver_rhs181" localSheetId="4" hidden="1">0</definedName>
    <definedName name="solver_rhs181" localSheetId="3" hidden="1">0</definedName>
    <definedName name="solver_rhs182" localSheetId="4" hidden="1">1</definedName>
    <definedName name="solver_rhs182" localSheetId="3" hidden="1">1</definedName>
    <definedName name="solver_rhs183" localSheetId="4" hidden="1">0</definedName>
    <definedName name="solver_rhs183" localSheetId="3" hidden="1">0</definedName>
    <definedName name="solver_rhs184" localSheetId="4" hidden="1">1</definedName>
    <definedName name="solver_rhs184" localSheetId="3" hidden="1">1</definedName>
    <definedName name="solver_rhs185" localSheetId="4" hidden="1">0</definedName>
    <definedName name="solver_rhs185" localSheetId="3" hidden="1">0</definedName>
    <definedName name="solver_rhs186" localSheetId="4" hidden="1">1</definedName>
    <definedName name="solver_rhs186" localSheetId="3" hidden="1">1</definedName>
    <definedName name="solver_rhs187" localSheetId="4" hidden="1">0</definedName>
    <definedName name="solver_rhs187" localSheetId="3" hidden="1">0</definedName>
    <definedName name="solver_rhs188" localSheetId="4" hidden="1">1</definedName>
    <definedName name="solver_rhs188" localSheetId="3" hidden="1">1</definedName>
    <definedName name="solver_rhs189" localSheetId="4" hidden="1">0</definedName>
    <definedName name="solver_rhs189" localSheetId="3" hidden="1">0</definedName>
    <definedName name="solver_rhs19" localSheetId="4" hidden="1">0</definedName>
    <definedName name="solver_rhs19" localSheetId="3" hidden="1">0</definedName>
    <definedName name="solver_rhs190" localSheetId="4" hidden="1">1</definedName>
    <definedName name="solver_rhs190" localSheetId="3" hidden="1">1</definedName>
    <definedName name="solver_rhs191" localSheetId="4" hidden="1">0</definedName>
    <definedName name="solver_rhs191" localSheetId="3" hidden="1">0</definedName>
    <definedName name="solver_rhs192" localSheetId="4" hidden="1">1</definedName>
    <definedName name="solver_rhs192" localSheetId="3" hidden="1">1</definedName>
    <definedName name="solver_rhs193" localSheetId="4" hidden="1">0</definedName>
    <definedName name="solver_rhs193" localSheetId="3" hidden="1">0</definedName>
    <definedName name="solver_rhs194" localSheetId="4" hidden="1">1</definedName>
    <definedName name="solver_rhs194" localSheetId="3" hidden="1">1</definedName>
    <definedName name="solver_rhs195" localSheetId="4" hidden="1">0</definedName>
    <definedName name="solver_rhs195" localSheetId="3" hidden="1">0</definedName>
    <definedName name="solver_rhs196" localSheetId="4" hidden="1">1</definedName>
    <definedName name="solver_rhs196" localSheetId="3" hidden="1">1</definedName>
    <definedName name="solver_rhs197" localSheetId="4" hidden="1">0</definedName>
    <definedName name="solver_rhs197" localSheetId="3" hidden="1">0</definedName>
    <definedName name="solver_rhs198" localSheetId="4" hidden="1">1</definedName>
    <definedName name="solver_rhs198" localSheetId="3" hidden="1">1</definedName>
    <definedName name="solver_rhs199" localSheetId="4" hidden="1">0</definedName>
    <definedName name="solver_rhs199" localSheetId="3" hidden="1">0</definedName>
    <definedName name="solver_rhs2" localSheetId="4" hidden="1">1</definedName>
    <definedName name="solver_rhs2" localSheetId="3" hidden="1">0</definedName>
    <definedName name="solver_rhs20" localSheetId="4" hidden="1">1</definedName>
    <definedName name="solver_rhs20" localSheetId="3" hidden="1">1</definedName>
    <definedName name="solver_rhs200" localSheetId="4" hidden="1">1</definedName>
    <definedName name="solver_rhs200" localSheetId="3" hidden="1">1</definedName>
    <definedName name="solver_rhs201" localSheetId="4" hidden="1">0</definedName>
    <definedName name="solver_rhs201" localSheetId="3" hidden="1">0</definedName>
    <definedName name="solver_rhs202" localSheetId="4" hidden="1">1</definedName>
    <definedName name="solver_rhs202" localSheetId="3" hidden="1">1</definedName>
    <definedName name="solver_rhs203" localSheetId="4" hidden="1">0</definedName>
    <definedName name="solver_rhs203" localSheetId="3" hidden="1">0</definedName>
    <definedName name="solver_rhs204" localSheetId="4" hidden="1">1</definedName>
    <definedName name="solver_rhs204" localSheetId="3" hidden="1">1</definedName>
    <definedName name="solver_rhs205" localSheetId="4" hidden="1">0</definedName>
    <definedName name="solver_rhs205" localSheetId="3" hidden="1">0</definedName>
    <definedName name="solver_rhs206" localSheetId="4" hidden="1">1</definedName>
    <definedName name="solver_rhs206" localSheetId="3" hidden="1">1</definedName>
    <definedName name="solver_rhs207" localSheetId="4" hidden="1">0</definedName>
    <definedName name="solver_rhs207" localSheetId="3" hidden="1">0</definedName>
    <definedName name="solver_rhs208" localSheetId="4" hidden="1">1</definedName>
    <definedName name="solver_rhs208" localSheetId="3" hidden="1">1</definedName>
    <definedName name="solver_rhs209" localSheetId="4" hidden="1">0</definedName>
    <definedName name="solver_rhs209" localSheetId="3" hidden="1">0</definedName>
    <definedName name="solver_rhs21" localSheetId="4" hidden="1">0</definedName>
    <definedName name="solver_rhs21" localSheetId="3" hidden="1">0</definedName>
    <definedName name="solver_rhs210" localSheetId="4" hidden="1">1</definedName>
    <definedName name="solver_rhs210" localSheetId="3" hidden="1">1</definedName>
    <definedName name="solver_rhs211" localSheetId="4" hidden="1">0</definedName>
    <definedName name="solver_rhs211" localSheetId="3" hidden="1">0</definedName>
    <definedName name="solver_rhs212" localSheetId="4" hidden="1">1</definedName>
    <definedName name="solver_rhs212" localSheetId="3" hidden="1">1</definedName>
    <definedName name="solver_rhs213" localSheetId="4" hidden="1">0</definedName>
    <definedName name="solver_rhs213" localSheetId="3" hidden="1">0</definedName>
    <definedName name="solver_rhs214" localSheetId="4" hidden="1">1</definedName>
    <definedName name="solver_rhs214" localSheetId="3" hidden="1">1</definedName>
    <definedName name="solver_rhs215" localSheetId="4" hidden="1">0</definedName>
    <definedName name="solver_rhs215" localSheetId="3" hidden="1">0</definedName>
    <definedName name="solver_rhs216" localSheetId="4" hidden="1">1</definedName>
    <definedName name="solver_rhs216" localSheetId="3" hidden="1">1</definedName>
    <definedName name="solver_rhs217" localSheetId="4" hidden="1">0</definedName>
    <definedName name="solver_rhs217" localSheetId="3" hidden="1">0</definedName>
    <definedName name="solver_rhs218" localSheetId="4" hidden="1">1</definedName>
    <definedName name="solver_rhs218" localSheetId="3" hidden="1">1</definedName>
    <definedName name="solver_rhs219" localSheetId="4" hidden="1">0</definedName>
    <definedName name="solver_rhs219" localSheetId="3" hidden="1">0</definedName>
    <definedName name="solver_rhs22" localSheetId="4" hidden="1">1</definedName>
    <definedName name="solver_rhs22" localSheetId="3" hidden="1">1</definedName>
    <definedName name="solver_rhs220" localSheetId="4" hidden="1">1</definedName>
    <definedName name="solver_rhs220" localSheetId="3" hidden="1">1</definedName>
    <definedName name="solver_rhs221" localSheetId="4" hidden="1">0</definedName>
    <definedName name="solver_rhs221" localSheetId="3" hidden="1">0</definedName>
    <definedName name="solver_rhs222" localSheetId="4" hidden="1">1</definedName>
    <definedName name="solver_rhs222" localSheetId="3" hidden="1">1</definedName>
    <definedName name="solver_rhs223" localSheetId="4" hidden="1">0</definedName>
    <definedName name="solver_rhs223" localSheetId="3" hidden="1">0</definedName>
    <definedName name="solver_rhs224" localSheetId="4" hidden="1">1</definedName>
    <definedName name="solver_rhs224" localSheetId="3" hidden="1">1</definedName>
    <definedName name="solver_rhs225" localSheetId="4" hidden="1">0</definedName>
    <definedName name="solver_rhs225" localSheetId="3" hidden="1">0</definedName>
    <definedName name="solver_rhs226" localSheetId="4" hidden="1">1</definedName>
    <definedName name="solver_rhs226" localSheetId="3" hidden="1">1</definedName>
    <definedName name="solver_rhs227" localSheetId="4" hidden="1">0</definedName>
    <definedName name="solver_rhs227" localSheetId="3" hidden="1">0</definedName>
    <definedName name="solver_rhs228" localSheetId="4" hidden="1">1</definedName>
    <definedName name="solver_rhs228" localSheetId="3" hidden="1">1</definedName>
    <definedName name="solver_rhs229" localSheetId="4" hidden="1">0</definedName>
    <definedName name="solver_rhs229" localSheetId="3" hidden="1">0</definedName>
    <definedName name="solver_rhs23" localSheetId="4" hidden="1">0</definedName>
    <definedName name="solver_rhs23" localSheetId="3" hidden="1">0</definedName>
    <definedName name="solver_rhs230" localSheetId="4" hidden="1">1</definedName>
    <definedName name="solver_rhs230" localSheetId="3" hidden="1">1</definedName>
    <definedName name="solver_rhs231" localSheetId="4" hidden="1">0</definedName>
    <definedName name="solver_rhs231" localSheetId="3" hidden="1">0</definedName>
    <definedName name="solver_rhs232" localSheetId="4" hidden="1">1</definedName>
    <definedName name="solver_rhs232" localSheetId="3" hidden="1">1</definedName>
    <definedName name="solver_rhs233" localSheetId="4" hidden="1">0</definedName>
    <definedName name="solver_rhs233" localSheetId="3" hidden="1">0</definedName>
    <definedName name="solver_rhs234" localSheetId="4" hidden="1">1</definedName>
    <definedName name="solver_rhs234" localSheetId="3" hidden="1">1</definedName>
    <definedName name="solver_rhs235" localSheetId="4" hidden="1">0</definedName>
    <definedName name="solver_rhs235" localSheetId="3" hidden="1">0</definedName>
    <definedName name="solver_rhs236" localSheetId="4" hidden="1">1</definedName>
    <definedName name="solver_rhs236" localSheetId="3" hidden="1">1</definedName>
    <definedName name="solver_rhs237" localSheetId="4" hidden="1">0</definedName>
    <definedName name="solver_rhs237" localSheetId="3" hidden="1">0</definedName>
    <definedName name="solver_rhs238" localSheetId="4" hidden="1">0</definedName>
    <definedName name="solver_rhs238" localSheetId="3" hidden="1">1</definedName>
    <definedName name="solver_rhs239" localSheetId="3" hidden="1">0</definedName>
    <definedName name="solver_rhs24" localSheetId="4" hidden="1">1</definedName>
    <definedName name="solver_rhs24" localSheetId="3" hidden="1">1</definedName>
    <definedName name="solver_rhs240" localSheetId="3" hidden="1">1</definedName>
    <definedName name="solver_rhs241" localSheetId="3" hidden="1">0</definedName>
    <definedName name="solver_rhs242" localSheetId="3" hidden="1">1</definedName>
    <definedName name="solver_rhs243" localSheetId="3" hidden="1">0</definedName>
    <definedName name="solver_rhs244" localSheetId="3" hidden="1">1</definedName>
    <definedName name="solver_rhs245" localSheetId="3" hidden="1">0</definedName>
    <definedName name="solver_rhs246" localSheetId="3" hidden="1">1</definedName>
    <definedName name="solver_rhs247" localSheetId="3" hidden="1">0</definedName>
    <definedName name="solver_rhs248" localSheetId="3" hidden="1">1</definedName>
    <definedName name="solver_rhs249" localSheetId="3" hidden="1">0</definedName>
    <definedName name="solver_rhs25" localSheetId="4" hidden="1">0</definedName>
    <definedName name="solver_rhs25" localSheetId="3" hidden="1">0</definedName>
    <definedName name="solver_rhs250" localSheetId="3" hidden="1">1</definedName>
    <definedName name="solver_rhs251" localSheetId="3" hidden="1">0</definedName>
    <definedName name="solver_rhs252" localSheetId="3" hidden="1">1</definedName>
    <definedName name="solver_rhs253" localSheetId="3" hidden="1">0</definedName>
    <definedName name="solver_rhs254" localSheetId="3" hidden="1">1</definedName>
    <definedName name="solver_rhs255" localSheetId="3" hidden="1">0</definedName>
    <definedName name="solver_rhs256" localSheetId="3" hidden="1">1</definedName>
    <definedName name="solver_rhs257" localSheetId="3" hidden="1">0</definedName>
    <definedName name="solver_rhs258" localSheetId="3" hidden="1">1</definedName>
    <definedName name="solver_rhs259" localSheetId="3" hidden="1">0</definedName>
    <definedName name="solver_rhs26" localSheetId="4" hidden="1">1</definedName>
    <definedName name="solver_rhs26" localSheetId="3" hidden="1">1</definedName>
    <definedName name="solver_rhs260" localSheetId="3" hidden="1">1</definedName>
    <definedName name="solver_rhs261" localSheetId="3" hidden="1">0</definedName>
    <definedName name="solver_rhs262" localSheetId="3" hidden="1">1</definedName>
    <definedName name="solver_rhs263" localSheetId="3" hidden="1">0</definedName>
    <definedName name="solver_rhs264" localSheetId="3" hidden="1">1</definedName>
    <definedName name="solver_rhs265" localSheetId="3" hidden="1">0</definedName>
    <definedName name="solver_rhs266" localSheetId="3" hidden="1">1</definedName>
    <definedName name="solver_rhs267" localSheetId="3" hidden="1">0</definedName>
    <definedName name="solver_rhs268" localSheetId="3" hidden="1">1</definedName>
    <definedName name="solver_rhs269" localSheetId="3" hidden="1">0</definedName>
    <definedName name="solver_rhs27" localSheetId="4" hidden="1">0</definedName>
    <definedName name="solver_rhs27" localSheetId="3" hidden="1">0</definedName>
    <definedName name="solver_rhs270" localSheetId="3" hidden="1">1</definedName>
    <definedName name="solver_rhs271" localSheetId="3" hidden="1">0</definedName>
    <definedName name="solver_rhs272" localSheetId="3" hidden="1">1</definedName>
    <definedName name="solver_rhs273" localSheetId="3" hidden="1">0</definedName>
    <definedName name="solver_rhs274" localSheetId="3" hidden="1">1</definedName>
    <definedName name="solver_rhs275" localSheetId="3" hidden="1">0</definedName>
    <definedName name="solver_rhs276" localSheetId="3" hidden="1">1</definedName>
    <definedName name="solver_rhs277" localSheetId="3" hidden="1">0</definedName>
    <definedName name="solver_rhs278" localSheetId="3" hidden="1">1</definedName>
    <definedName name="solver_rhs279" localSheetId="3" hidden="1">0</definedName>
    <definedName name="solver_rhs28" localSheetId="4" hidden="1">1</definedName>
    <definedName name="solver_rhs28" localSheetId="3" hidden="1">1</definedName>
    <definedName name="solver_rhs280" localSheetId="3" hidden="1">1</definedName>
    <definedName name="solver_rhs281" localSheetId="3" hidden="1">0</definedName>
    <definedName name="solver_rhs282" localSheetId="3" hidden="1">1</definedName>
    <definedName name="solver_rhs283" localSheetId="3" hidden="1">0</definedName>
    <definedName name="solver_rhs284" localSheetId="3" hidden="1">1</definedName>
    <definedName name="solver_rhs285" localSheetId="3" hidden="1">0</definedName>
    <definedName name="solver_rhs286" localSheetId="3" hidden="1">1</definedName>
    <definedName name="solver_rhs287" localSheetId="3" hidden="1">0</definedName>
    <definedName name="solver_rhs288" localSheetId="3" hidden="1">1</definedName>
    <definedName name="solver_rhs289" localSheetId="3" hidden="1">0</definedName>
    <definedName name="solver_rhs29" localSheetId="4" hidden="1">0</definedName>
    <definedName name="solver_rhs29" localSheetId="3" hidden="1">0</definedName>
    <definedName name="solver_rhs290" localSheetId="3" hidden="1">1</definedName>
    <definedName name="solver_rhs291" localSheetId="3" hidden="1">0</definedName>
    <definedName name="solver_rhs292" localSheetId="3" hidden="1">1</definedName>
    <definedName name="solver_rhs293" localSheetId="3" hidden="1">0</definedName>
    <definedName name="solver_rhs294" localSheetId="3" hidden="1">1</definedName>
    <definedName name="solver_rhs295" localSheetId="3" hidden="1">0</definedName>
    <definedName name="solver_rhs296" localSheetId="3" hidden="1">1</definedName>
    <definedName name="solver_rhs297" localSheetId="3" hidden="1">0</definedName>
    <definedName name="solver_rhs298" localSheetId="3" hidden="1">1</definedName>
    <definedName name="solver_rhs299" localSheetId="3" hidden="1">0</definedName>
    <definedName name="solver_rhs3" localSheetId="4" hidden="1">0</definedName>
    <definedName name="solver_rhs3" localSheetId="3" hidden="1">0</definedName>
    <definedName name="solver_rhs30" localSheetId="4" hidden="1">1</definedName>
    <definedName name="solver_rhs30" localSheetId="3" hidden="1">1</definedName>
    <definedName name="solver_rhs300" localSheetId="3" hidden="1">1</definedName>
    <definedName name="solver_rhs301" localSheetId="3" hidden="1">0</definedName>
    <definedName name="solver_rhs302" localSheetId="3" hidden="1">1</definedName>
    <definedName name="solver_rhs303" localSheetId="3" hidden="1">0</definedName>
    <definedName name="solver_rhs304" localSheetId="3" hidden="1">1</definedName>
    <definedName name="solver_rhs305" localSheetId="3" hidden="1">0</definedName>
    <definedName name="solver_rhs306" localSheetId="3" hidden="1">1</definedName>
    <definedName name="solver_rhs307" localSheetId="3" hidden="1">0</definedName>
    <definedName name="solver_rhs308" localSheetId="3" hidden="1">1</definedName>
    <definedName name="solver_rhs309" localSheetId="3" hidden="1">0</definedName>
    <definedName name="solver_rhs31" localSheetId="4" hidden="1">0</definedName>
    <definedName name="solver_rhs31" localSheetId="3" hidden="1">0</definedName>
    <definedName name="solver_rhs310" localSheetId="3" hidden="1">1</definedName>
    <definedName name="solver_rhs311" localSheetId="3" hidden="1">0</definedName>
    <definedName name="solver_rhs312" localSheetId="3" hidden="1">1</definedName>
    <definedName name="solver_rhs313" localSheetId="3" hidden="1">0</definedName>
    <definedName name="solver_rhs314" localSheetId="3" hidden="1">1</definedName>
    <definedName name="solver_rhs315" localSheetId="3" hidden="1">0</definedName>
    <definedName name="solver_rhs316" localSheetId="3" hidden="1">1</definedName>
    <definedName name="solver_rhs317" localSheetId="3" hidden="1">0</definedName>
    <definedName name="solver_rhs318" localSheetId="3" hidden="1">1</definedName>
    <definedName name="solver_rhs319" localSheetId="3" hidden="1">0</definedName>
    <definedName name="solver_rhs32" localSheetId="4" hidden="1">1</definedName>
    <definedName name="solver_rhs32" localSheetId="3" hidden="1">1</definedName>
    <definedName name="solver_rhs320" localSheetId="3" hidden="1">1</definedName>
    <definedName name="solver_rhs321" localSheetId="3" hidden="1">0</definedName>
    <definedName name="solver_rhs322" localSheetId="3" hidden="1">1</definedName>
    <definedName name="solver_rhs323" localSheetId="3" hidden="1">0</definedName>
    <definedName name="solver_rhs324" localSheetId="3" hidden="1">1</definedName>
    <definedName name="solver_rhs325" localSheetId="3" hidden="1">0</definedName>
    <definedName name="solver_rhs326" localSheetId="3" hidden="1">1</definedName>
    <definedName name="solver_rhs327" localSheetId="3" hidden="1">0</definedName>
    <definedName name="solver_rhs328" localSheetId="3" hidden="1">1</definedName>
    <definedName name="solver_rhs329" localSheetId="3" hidden="1">0</definedName>
    <definedName name="solver_rhs33" localSheetId="4" hidden="1">0</definedName>
    <definedName name="solver_rhs33" localSheetId="3" hidden="1">0</definedName>
    <definedName name="solver_rhs330" localSheetId="3" hidden="1">1</definedName>
    <definedName name="solver_rhs331" localSheetId="3" hidden="1">0</definedName>
    <definedName name="solver_rhs332" localSheetId="3" hidden="1">1</definedName>
    <definedName name="solver_rhs34" localSheetId="4" hidden="1">1</definedName>
    <definedName name="solver_rhs34" localSheetId="3" hidden="1">1</definedName>
    <definedName name="solver_rhs35" localSheetId="4" hidden="1">0</definedName>
    <definedName name="solver_rhs35" localSheetId="3" hidden="1">0</definedName>
    <definedName name="solver_rhs36" localSheetId="4" hidden="1">1</definedName>
    <definedName name="solver_rhs36" localSheetId="3" hidden="1">1</definedName>
    <definedName name="solver_rhs37" localSheetId="4" hidden="1">0</definedName>
    <definedName name="solver_rhs37" localSheetId="3" hidden="1">0</definedName>
    <definedName name="solver_rhs38" localSheetId="4" hidden="1">1</definedName>
    <definedName name="solver_rhs38" localSheetId="3" hidden="1">1</definedName>
    <definedName name="solver_rhs39" localSheetId="4" hidden="1">0</definedName>
    <definedName name="solver_rhs39" localSheetId="3" hidden="1">0</definedName>
    <definedName name="solver_rhs4" localSheetId="4" hidden="1">1</definedName>
    <definedName name="solver_rhs4" localSheetId="3" hidden="1">1</definedName>
    <definedName name="solver_rhs40" localSheetId="4" hidden="1">1</definedName>
    <definedName name="solver_rhs40" localSheetId="3" hidden="1">1</definedName>
    <definedName name="solver_rhs41" localSheetId="4" hidden="1">0</definedName>
    <definedName name="solver_rhs41" localSheetId="3" hidden="1">0</definedName>
    <definedName name="solver_rhs42" localSheetId="4" hidden="1">1</definedName>
    <definedName name="solver_rhs42" localSheetId="3" hidden="1">1</definedName>
    <definedName name="solver_rhs43" localSheetId="4" hidden="1">0</definedName>
    <definedName name="solver_rhs43" localSheetId="3" hidden="1">0</definedName>
    <definedName name="solver_rhs44" localSheetId="4" hidden="1">1</definedName>
    <definedName name="solver_rhs44" localSheetId="3" hidden="1">1</definedName>
    <definedName name="solver_rhs45" localSheetId="4" hidden="1">0</definedName>
    <definedName name="solver_rhs45" localSheetId="3" hidden="1">0</definedName>
    <definedName name="solver_rhs46" localSheetId="4" hidden="1">1</definedName>
    <definedName name="solver_rhs46" localSheetId="3" hidden="1">1</definedName>
    <definedName name="solver_rhs47" localSheetId="4" hidden="1">0</definedName>
    <definedName name="solver_rhs47" localSheetId="3" hidden="1">0</definedName>
    <definedName name="solver_rhs48" localSheetId="4" hidden="1">1</definedName>
    <definedName name="solver_rhs48" localSheetId="3" hidden="1">1</definedName>
    <definedName name="solver_rhs49" localSheetId="4" hidden="1">0</definedName>
    <definedName name="solver_rhs49" localSheetId="3" hidden="1">0</definedName>
    <definedName name="solver_rhs5" localSheetId="4" hidden="1">0</definedName>
    <definedName name="solver_rhs5" localSheetId="3" hidden="1">0</definedName>
    <definedName name="solver_rhs50" localSheetId="4" hidden="1">1</definedName>
    <definedName name="solver_rhs50" localSheetId="3" hidden="1">1</definedName>
    <definedName name="solver_rhs51" localSheetId="4" hidden="1">0</definedName>
    <definedName name="solver_rhs51" localSheetId="3" hidden="1">0</definedName>
    <definedName name="solver_rhs52" localSheetId="4" hidden="1">1</definedName>
    <definedName name="solver_rhs52" localSheetId="3" hidden="1">1</definedName>
    <definedName name="solver_rhs53" localSheetId="4" hidden="1">0</definedName>
    <definedName name="solver_rhs53" localSheetId="3" hidden="1">0</definedName>
    <definedName name="solver_rhs54" localSheetId="4" hidden="1">1</definedName>
    <definedName name="solver_rhs54" localSheetId="3" hidden="1">1</definedName>
    <definedName name="solver_rhs55" localSheetId="4" hidden="1">0</definedName>
    <definedName name="solver_rhs55" localSheetId="3" hidden="1">0</definedName>
    <definedName name="solver_rhs56" localSheetId="4" hidden="1">1</definedName>
    <definedName name="solver_rhs56" localSheetId="3" hidden="1">1</definedName>
    <definedName name="solver_rhs57" localSheetId="4" hidden="1">0</definedName>
    <definedName name="solver_rhs57" localSheetId="3" hidden="1">0</definedName>
    <definedName name="solver_rhs58" localSheetId="4" hidden="1">1</definedName>
    <definedName name="solver_rhs58" localSheetId="3" hidden="1">1</definedName>
    <definedName name="solver_rhs59" localSheetId="4" hidden="1">0</definedName>
    <definedName name="solver_rhs59" localSheetId="3" hidden="1">0</definedName>
    <definedName name="solver_rhs6" localSheetId="4" hidden="1">1</definedName>
    <definedName name="solver_rhs6" localSheetId="3" hidden="1">1</definedName>
    <definedName name="solver_rhs60" localSheetId="4" hidden="1">1</definedName>
    <definedName name="solver_rhs60" localSheetId="3" hidden="1">1</definedName>
    <definedName name="solver_rhs61" localSheetId="4" hidden="1">0</definedName>
    <definedName name="solver_rhs61" localSheetId="3" hidden="1">0</definedName>
    <definedName name="solver_rhs62" localSheetId="4" hidden="1">1</definedName>
    <definedName name="solver_rhs62" localSheetId="3" hidden="1">1</definedName>
    <definedName name="solver_rhs63" localSheetId="4" hidden="1">0</definedName>
    <definedName name="solver_rhs63" localSheetId="3" hidden="1">0</definedName>
    <definedName name="solver_rhs64" localSheetId="4" hidden="1">1</definedName>
    <definedName name="solver_rhs64" localSheetId="3" hidden="1">1</definedName>
    <definedName name="solver_rhs65" localSheetId="4" hidden="1">0</definedName>
    <definedName name="solver_rhs65" localSheetId="3" hidden="1">0</definedName>
    <definedName name="solver_rhs66" localSheetId="4" hidden="1">1</definedName>
    <definedName name="solver_rhs66" localSheetId="3" hidden="1">1</definedName>
    <definedName name="solver_rhs67" localSheetId="4" hidden="1">0</definedName>
    <definedName name="solver_rhs67" localSheetId="3" hidden="1">0</definedName>
    <definedName name="solver_rhs68" localSheetId="4" hidden="1">1</definedName>
    <definedName name="solver_rhs68" localSheetId="3" hidden="1">1</definedName>
    <definedName name="solver_rhs69" localSheetId="4" hidden="1">0</definedName>
    <definedName name="solver_rhs69" localSheetId="3" hidden="1">0</definedName>
    <definedName name="solver_rhs7" localSheetId="4" hidden="1">0</definedName>
    <definedName name="solver_rhs7" localSheetId="3" hidden="1">0</definedName>
    <definedName name="solver_rhs70" localSheetId="4" hidden="1">1</definedName>
    <definedName name="solver_rhs70" localSheetId="3" hidden="1">1</definedName>
    <definedName name="solver_rhs71" localSheetId="4" hidden="1">0</definedName>
    <definedName name="solver_rhs71" localSheetId="3" hidden="1">0</definedName>
    <definedName name="solver_rhs72" localSheetId="4" hidden="1">1</definedName>
    <definedName name="solver_rhs72" localSheetId="3" hidden="1">1</definedName>
    <definedName name="solver_rhs73" localSheetId="4" hidden="1">0</definedName>
    <definedName name="solver_rhs73" localSheetId="3" hidden="1">0</definedName>
    <definedName name="solver_rhs74" localSheetId="4" hidden="1">1</definedName>
    <definedName name="solver_rhs74" localSheetId="3" hidden="1">1</definedName>
    <definedName name="solver_rhs75" localSheetId="4" hidden="1">0</definedName>
    <definedName name="solver_rhs75" localSheetId="3" hidden="1">0</definedName>
    <definedName name="solver_rhs76" localSheetId="4" hidden="1">1</definedName>
    <definedName name="solver_rhs76" localSheetId="3" hidden="1">1</definedName>
    <definedName name="solver_rhs77" localSheetId="4" hidden="1">0</definedName>
    <definedName name="solver_rhs77" localSheetId="3" hidden="1">0</definedName>
    <definedName name="solver_rhs78" localSheetId="4" hidden="1">1</definedName>
    <definedName name="solver_rhs78" localSheetId="3" hidden="1">1</definedName>
    <definedName name="solver_rhs79" localSheetId="4" hidden="1">0</definedName>
    <definedName name="solver_rhs79" localSheetId="3" hidden="1">0</definedName>
    <definedName name="solver_rhs8" localSheetId="4" hidden="1">1</definedName>
    <definedName name="solver_rhs8" localSheetId="3" hidden="1">1</definedName>
    <definedName name="solver_rhs80" localSheetId="4" hidden="1">1</definedName>
    <definedName name="solver_rhs80" localSheetId="3" hidden="1">1</definedName>
    <definedName name="solver_rhs81" localSheetId="4" hidden="1">0</definedName>
    <definedName name="solver_rhs81" localSheetId="3" hidden="1">0</definedName>
    <definedName name="solver_rhs82" localSheetId="4" hidden="1">1</definedName>
    <definedName name="solver_rhs82" localSheetId="3" hidden="1">1</definedName>
    <definedName name="solver_rhs83" localSheetId="4" hidden="1">0</definedName>
    <definedName name="solver_rhs83" localSheetId="3" hidden="1">0</definedName>
    <definedName name="solver_rhs84" localSheetId="4" hidden="1">1</definedName>
    <definedName name="solver_rhs84" localSheetId="3" hidden="1">1</definedName>
    <definedName name="solver_rhs85" localSheetId="4" hidden="1">0</definedName>
    <definedName name="solver_rhs85" localSheetId="3" hidden="1">0</definedName>
    <definedName name="solver_rhs86" localSheetId="4" hidden="1">1</definedName>
    <definedName name="solver_rhs86" localSheetId="3" hidden="1">1</definedName>
    <definedName name="solver_rhs87" localSheetId="4" hidden="1">0</definedName>
    <definedName name="solver_rhs87" localSheetId="3" hidden="1">0</definedName>
    <definedName name="solver_rhs88" localSheetId="4" hidden="1">1</definedName>
    <definedName name="solver_rhs88" localSheetId="3" hidden="1">1</definedName>
    <definedName name="solver_rhs89" localSheetId="4" hidden="1">0</definedName>
    <definedName name="solver_rhs89" localSheetId="3" hidden="1">0</definedName>
    <definedName name="solver_rhs9" localSheetId="4" hidden="1">0</definedName>
    <definedName name="solver_rhs9" localSheetId="3" hidden="1">0</definedName>
    <definedName name="solver_rhs90" localSheetId="4" hidden="1">1</definedName>
    <definedName name="solver_rhs90" localSheetId="3" hidden="1">1</definedName>
    <definedName name="solver_rhs91" localSheetId="4" hidden="1">0</definedName>
    <definedName name="solver_rhs91" localSheetId="3" hidden="1">0</definedName>
    <definedName name="solver_rhs92" localSheetId="4" hidden="1">1</definedName>
    <definedName name="solver_rhs92" localSheetId="3" hidden="1">1</definedName>
    <definedName name="solver_rhs93" localSheetId="4" hidden="1">0</definedName>
    <definedName name="solver_rhs93" localSheetId="3" hidden="1">0</definedName>
    <definedName name="solver_rhs94" localSheetId="4" hidden="1">1</definedName>
    <definedName name="solver_rhs94" localSheetId="3" hidden="1">1</definedName>
    <definedName name="solver_rhs95" localSheetId="4" hidden="1">0</definedName>
    <definedName name="solver_rhs95" localSheetId="3" hidden="1">0</definedName>
    <definedName name="solver_rhs96" localSheetId="4" hidden="1">1</definedName>
    <definedName name="solver_rhs96" localSheetId="3" hidden="1">1</definedName>
    <definedName name="solver_rhs97" localSheetId="4" hidden="1">0</definedName>
    <definedName name="solver_rhs97" localSheetId="3" hidden="1">0</definedName>
    <definedName name="solver_rhs98" localSheetId="4" hidden="1">1</definedName>
    <definedName name="solver_rhs98" localSheetId="3" hidden="1">1</definedName>
    <definedName name="solver_rhs99" localSheetId="4" hidden="1">0</definedName>
    <definedName name="solver_rhs99" localSheetId="3" hidden="1">0</definedName>
    <definedName name="solver_rlx" localSheetId="4" hidden="1">2</definedName>
    <definedName name="solver_rlx" localSheetId="3" hidden="1">2</definedName>
    <definedName name="solver_rsd" localSheetId="4" hidden="1">0</definedName>
    <definedName name="solver_rsd" localSheetId="3" hidden="1">0</definedName>
    <definedName name="solver_scl" localSheetId="4" hidden="1">2</definedName>
    <definedName name="solver_scl" localSheetId="3" hidden="1">1</definedName>
    <definedName name="solver_sho" localSheetId="4" hidden="1">2</definedName>
    <definedName name="solver_sho" localSheetId="3" hidden="1">2</definedName>
    <definedName name="solver_ssz" localSheetId="4" hidden="1">100</definedName>
    <definedName name="solver_ssz" localSheetId="3" hidden="1">100</definedName>
    <definedName name="solver_tim" localSheetId="4" hidden="1">2147483647</definedName>
    <definedName name="solver_tim" localSheetId="3" hidden="1">2147483647</definedName>
    <definedName name="solver_tol" localSheetId="4" hidden="1">0.01</definedName>
    <definedName name="solver_tol" localSheetId="3" hidden="1">0.01</definedName>
    <definedName name="solver_typ" localSheetId="4" hidden="1">2</definedName>
    <definedName name="solver_typ" localSheetId="3" hidden="1">2</definedName>
    <definedName name="solver_val" localSheetId="4" hidden="1">0</definedName>
    <definedName name="solver_val" localSheetId="3" hidden="1">0</definedName>
    <definedName name="solver_ver" localSheetId="4" hidden="1">3</definedName>
    <definedName name="solver_ver" localSheetId="3" hidden="1">3</definedName>
    <definedName name="SSE_adaptive">calcAdaptive!$K$2</definedName>
    <definedName name="SSE_simple">calcSimple!$G$2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4" l="1"/>
  <c r="G3" i="4"/>
  <c r="C4" i="4"/>
  <c r="F4" i="4"/>
  <c r="E3" i="4"/>
  <c r="E4" i="4"/>
  <c r="G4" i="4"/>
  <c r="C5" i="4"/>
  <c r="D4" i="4"/>
  <c r="F5" i="4"/>
  <c r="E5" i="4"/>
  <c r="G5" i="4"/>
  <c r="C6" i="4"/>
  <c r="D5" i="4"/>
  <c r="F6" i="4"/>
  <c r="E6" i="4"/>
  <c r="G6" i="4"/>
  <c r="C7" i="4"/>
  <c r="D6" i="4"/>
  <c r="F7" i="4"/>
  <c r="E7" i="4"/>
  <c r="G7" i="4"/>
  <c r="C8" i="4"/>
  <c r="D7" i="4"/>
  <c r="F8" i="4"/>
  <c r="E8" i="4"/>
  <c r="G8" i="4"/>
  <c r="C9" i="4"/>
  <c r="D8" i="4"/>
  <c r="F9" i="4"/>
  <c r="E9" i="4"/>
  <c r="G9" i="4"/>
  <c r="C10" i="4"/>
  <c r="D9" i="4"/>
  <c r="F10" i="4"/>
  <c r="E10" i="4"/>
  <c r="G10" i="4"/>
  <c r="C11" i="4"/>
  <c r="D10" i="4"/>
  <c r="F11" i="4"/>
  <c r="E11" i="4"/>
  <c r="G11" i="4"/>
  <c r="C12" i="4"/>
  <c r="D11" i="4"/>
  <c r="F12" i="4"/>
  <c r="E12" i="4"/>
  <c r="G12" i="4"/>
  <c r="C13" i="4"/>
  <c r="D12" i="4"/>
  <c r="F13" i="4"/>
  <c r="E13" i="4"/>
  <c r="G13" i="4"/>
  <c r="C14" i="4"/>
  <c r="D13" i="4"/>
  <c r="F14" i="4"/>
  <c r="E14" i="4"/>
  <c r="G14" i="4"/>
  <c r="C15" i="4"/>
  <c r="D14" i="4"/>
  <c r="F15" i="4"/>
  <c r="E15" i="4"/>
  <c r="G15" i="4"/>
  <c r="C16" i="4"/>
  <c r="D15" i="4"/>
  <c r="F16" i="4"/>
  <c r="E16" i="4"/>
  <c r="G16" i="4"/>
  <c r="C17" i="4"/>
  <c r="D16" i="4"/>
  <c r="F17" i="4"/>
  <c r="E17" i="4"/>
  <c r="G17" i="4"/>
  <c r="C18" i="4"/>
  <c r="D17" i="4"/>
  <c r="F18" i="4"/>
  <c r="E18" i="4"/>
  <c r="G18" i="4"/>
  <c r="C19" i="4"/>
  <c r="D18" i="4"/>
  <c r="F19" i="4"/>
  <c r="E19" i="4"/>
  <c r="G19" i="4"/>
  <c r="C20" i="4"/>
  <c r="D19" i="4"/>
  <c r="F20" i="4"/>
  <c r="E20" i="4"/>
  <c r="G20" i="4"/>
  <c r="C21" i="4"/>
  <c r="D20" i="4"/>
  <c r="F21" i="4"/>
  <c r="E21" i="4"/>
  <c r="G21" i="4"/>
  <c r="C22" i="4"/>
  <c r="D21" i="4"/>
  <c r="F22" i="4"/>
  <c r="E22" i="4"/>
  <c r="G22" i="4"/>
  <c r="C23" i="4"/>
  <c r="D22" i="4"/>
  <c r="F23" i="4"/>
  <c r="E23" i="4"/>
  <c r="G23" i="4"/>
  <c r="C24" i="4"/>
  <c r="D23" i="4"/>
  <c r="F24" i="4"/>
  <c r="E24" i="4"/>
  <c r="G24" i="4"/>
  <c r="C25" i="4"/>
  <c r="D24" i="4"/>
  <c r="F25" i="4"/>
  <c r="E25" i="4"/>
  <c r="G25" i="4"/>
  <c r="C26" i="4"/>
  <c r="D25" i="4"/>
  <c r="F26" i="4"/>
  <c r="E26" i="4"/>
  <c r="G26" i="4"/>
  <c r="C27" i="4"/>
  <c r="D26" i="4"/>
  <c r="F27" i="4"/>
  <c r="E27" i="4"/>
  <c r="G27" i="4"/>
  <c r="C28" i="4"/>
  <c r="D27" i="4"/>
  <c r="F28" i="4"/>
  <c r="E28" i="4"/>
  <c r="G28" i="4"/>
  <c r="C29" i="4"/>
  <c r="D28" i="4"/>
  <c r="F29" i="4"/>
  <c r="E29" i="4"/>
  <c r="G29" i="4"/>
  <c r="C30" i="4"/>
  <c r="D29" i="4"/>
  <c r="F30" i="4"/>
  <c r="E30" i="4"/>
  <c r="G30" i="4"/>
  <c r="C31" i="4"/>
  <c r="D30" i="4"/>
  <c r="F31" i="4"/>
  <c r="E31" i="4"/>
  <c r="G31" i="4"/>
  <c r="C32" i="4"/>
  <c r="D31" i="4"/>
  <c r="F32" i="4"/>
  <c r="E32" i="4"/>
  <c r="G32" i="4"/>
  <c r="C33" i="4"/>
  <c r="D32" i="4"/>
  <c r="F33" i="4"/>
  <c r="E33" i="4"/>
  <c r="G33" i="4"/>
  <c r="C34" i="4"/>
  <c r="D33" i="4"/>
  <c r="F34" i="4"/>
  <c r="E34" i="4"/>
  <c r="G34" i="4"/>
  <c r="C35" i="4"/>
  <c r="D34" i="4"/>
  <c r="F35" i="4"/>
  <c r="E35" i="4"/>
  <c r="G35" i="4"/>
  <c r="C36" i="4"/>
  <c r="D35" i="4"/>
  <c r="F36" i="4"/>
  <c r="E36" i="4"/>
  <c r="G36" i="4"/>
  <c r="C37" i="4"/>
  <c r="D36" i="4"/>
  <c r="F37" i="4"/>
  <c r="E37" i="4"/>
  <c r="G37" i="4"/>
  <c r="C38" i="4"/>
  <c r="D37" i="4"/>
  <c r="F38" i="4"/>
  <c r="E38" i="4"/>
  <c r="G38" i="4"/>
  <c r="C39" i="4"/>
  <c r="D38" i="4"/>
  <c r="F39" i="4"/>
  <c r="E39" i="4"/>
  <c r="G39" i="4"/>
  <c r="C40" i="4"/>
  <c r="D39" i="4"/>
  <c r="F40" i="4"/>
  <c r="E40" i="4"/>
  <c r="G40" i="4"/>
  <c r="C41" i="4"/>
  <c r="D40" i="4"/>
  <c r="F41" i="4"/>
  <c r="E41" i="4"/>
  <c r="G41" i="4"/>
  <c r="C42" i="4"/>
  <c r="D41" i="4"/>
  <c r="F42" i="4"/>
  <c r="E42" i="4"/>
  <c r="G42" i="4"/>
  <c r="C43" i="4"/>
  <c r="D42" i="4"/>
  <c r="F43" i="4"/>
  <c r="E43" i="4"/>
  <c r="G43" i="4"/>
  <c r="C44" i="4"/>
  <c r="D43" i="4"/>
  <c r="F44" i="4"/>
  <c r="E44" i="4"/>
  <c r="G44" i="4"/>
  <c r="C45" i="4"/>
  <c r="D44" i="4"/>
  <c r="F45" i="4"/>
  <c r="E45" i="4"/>
  <c r="G45" i="4"/>
  <c r="C46" i="4"/>
  <c r="D45" i="4"/>
  <c r="F46" i="4"/>
  <c r="E46" i="4"/>
  <c r="G46" i="4"/>
  <c r="C47" i="4"/>
  <c r="D46" i="4"/>
  <c r="F47" i="4"/>
  <c r="E47" i="4"/>
  <c r="G47" i="4"/>
  <c r="C48" i="4"/>
  <c r="D47" i="4"/>
  <c r="F48" i="4"/>
  <c r="E48" i="4"/>
  <c r="G48" i="4"/>
  <c r="C49" i="4"/>
  <c r="D48" i="4"/>
  <c r="F49" i="4"/>
  <c r="E49" i="4"/>
  <c r="G49" i="4"/>
  <c r="C50" i="4"/>
  <c r="D49" i="4"/>
  <c r="F50" i="4"/>
  <c r="E50" i="4"/>
  <c r="G50" i="4"/>
  <c r="C51" i="4"/>
  <c r="D50" i="4"/>
  <c r="F51" i="4"/>
  <c r="E51" i="4"/>
  <c r="G51" i="4"/>
  <c r="C52" i="4"/>
  <c r="D51" i="4"/>
  <c r="F52" i="4"/>
  <c r="E52" i="4"/>
  <c r="G52" i="4"/>
  <c r="C53" i="4"/>
  <c r="D52" i="4"/>
  <c r="F53" i="4"/>
  <c r="E53" i="4"/>
  <c r="G53" i="4"/>
  <c r="C54" i="4"/>
  <c r="D53" i="4"/>
  <c r="F54" i="4"/>
  <c r="E54" i="4"/>
  <c r="G54" i="4"/>
  <c r="C55" i="4"/>
  <c r="D54" i="4"/>
  <c r="F55" i="4"/>
  <c r="E55" i="4"/>
  <c r="G55" i="4"/>
  <c r="C56" i="4"/>
  <c r="D55" i="4"/>
  <c r="F56" i="4"/>
  <c r="E56" i="4"/>
  <c r="G56" i="4"/>
  <c r="C57" i="4"/>
  <c r="D56" i="4"/>
  <c r="F57" i="4"/>
  <c r="E57" i="4"/>
  <c r="G57" i="4"/>
  <c r="C58" i="4"/>
  <c r="D57" i="4"/>
  <c r="F58" i="4"/>
  <c r="E58" i="4"/>
  <c r="G58" i="4"/>
  <c r="C59" i="4"/>
  <c r="D58" i="4"/>
  <c r="F59" i="4"/>
  <c r="E59" i="4"/>
  <c r="G59" i="4"/>
  <c r="C60" i="4"/>
  <c r="D59" i="4"/>
  <c r="F60" i="4"/>
  <c r="E60" i="4"/>
  <c r="G60" i="4"/>
  <c r="C61" i="4"/>
  <c r="D60" i="4"/>
  <c r="F61" i="4"/>
  <c r="E61" i="4"/>
  <c r="G61" i="4"/>
  <c r="C62" i="4"/>
  <c r="D61" i="4"/>
  <c r="F62" i="4"/>
  <c r="E62" i="4"/>
  <c r="G62" i="4"/>
  <c r="C63" i="4"/>
  <c r="D62" i="4"/>
  <c r="F63" i="4"/>
  <c r="E63" i="4"/>
  <c r="G63" i="4"/>
  <c r="C64" i="4"/>
  <c r="D63" i="4"/>
  <c r="F64" i="4"/>
  <c r="E64" i="4"/>
  <c r="G64" i="4"/>
  <c r="C65" i="4"/>
  <c r="D64" i="4"/>
  <c r="F65" i="4"/>
  <c r="E65" i="4"/>
  <c r="G65" i="4"/>
  <c r="C66" i="4"/>
  <c r="D65" i="4"/>
  <c r="F66" i="4"/>
  <c r="E66" i="4"/>
  <c r="G66" i="4"/>
  <c r="C67" i="4"/>
  <c r="D66" i="4"/>
  <c r="F67" i="4"/>
  <c r="E67" i="4"/>
  <c r="G67" i="4"/>
  <c r="C68" i="4"/>
  <c r="D67" i="4"/>
  <c r="F68" i="4"/>
  <c r="E68" i="4"/>
  <c r="G68" i="4"/>
  <c r="C69" i="4"/>
  <c r="D68" i="4"/>
  <c r="F69" i="4"/>
  <c r="E69" i="4"/>
  <c r="G69" i="4"/>
  <c r="C70" i="4"/>
  <c r="D69" i="4"/>
  <c r="F70" i="4"/>
  <c r="E70" i="4"/>
  <c r="G70" i="4"/>
  <c r="C71" i="4"/>
  <c r="D70" i="4"/>
  <c r="F71" i="4"/>
  <c r="E71" i="4"/>
  <c r="G71" i="4"/>
  <c r="C72" i="4"/>
  <c r="D71" i="4"/>
  <c r="F72" i="4"/>
  <c r="E72" i="4"/>
  <c r="G72" i="4"/>
  <c r="C73" i="4"/>
  <c r="D72" i="4"/>
  <c r="F73" i="4"/>
  <c r="E73" i="4"/>
  <c r="G73" i="4"/>
  <c r="C74" i="4"/>
  <c r="D73" i="4"/>
  <c r="F74" i="4"/>
  <c r="E74" i="4"/>
  <c r="G74" i="4"/>
  <c r="C75" i="4"/>
  <c r="D74" i="4"/>
  <c r="F75" i="4"/>
  <c r="E75" i="4"/>
  <c r="G75" i="4"/>
  <c r="C76" i="4"/>
  <c r="D75" i="4"/>
  <c r="F76" i="4"/>
  <c r="E76" i="4"/>
  <c r="G76" i="4"/>
  <c r="C77" i="4"/>
  <c r="D76" i="4"/>
  <c r="F77" i="4"/>
  <c r="E77" i="4"/>
  <c r="G77" i="4"/>
  <c r="C78" i="4"/>
  <c r="D77" i="4"/>
  <c r="F78" i="4"/>
  <c r="E78" i="4"/>
  <c r="G78" i="4"/>
  <c r="C79" i="4"/>
  <c r="D78" i="4"/>
  <c r="F79" i="4"/>
  <c r="E79" i="4"/>
  <c r="G79" i="4"/>
  <c r="C80" i="4"/>
  <c r="D79" i="4"/>
  <c r="F80" i="4"/>
  <c r="E80" i="4"/>
  <c r="G80" i="4"/>
  <c r="C81" i="4"/>
  <c r="D80" i="4"/>
  <c r="F81" i="4"/>
  <c r="E81" i="4"/>
  <c r="G81" i="4"/>
  <c r="C82" i="4"/>
  <c r="D81" i="4"/>
  <c r="F82" i="4"/>
  <c r="E82" i="4"/>
  <c r="G82" i="4"/>
  <c r="C83" i="4"/>
  <c r="D82" i="4"/>
  <c r="F83" i="4"/>
  <c r="E83" i="4"/>
  <c r="G83" i="4"/>
  <c r="C84" i="4"/>
  <c r="D83" i="4"/>
  <c r="F84" i="4"/>
  <c r="E84" i="4"/>
  <c r="G84" i="4"/>
  <c r="C85" i="4"/>
  <c r="D84" i="4"/>
  <c r="F85" i="4"/>
  <c r="E85" i="4"/>
  <c r="G85" i="4"/>
  <c r="C86" i="4"/>
  <c r="D85" i="4"/>
  <c r="F86" i="4"/>
  <c r="E86" i="4"/>
  <c r="G86" i="4"/>
  <c r="C87" i="4"/>
  <c r="D86" i="4"/>
  <c r="F87" i="4"/>
  <c r="E87" i="4"/>
  <c r="G87" i="4"/>
  <c r="C88" i="4"/>
  <c r="D87" i="4"/>
  <c r="F88" i="4"/>
  <c r="E88" i="4"/>
  <c r="G88" i="4"/>
  <c r="C89" i="4"/>
  <c r="D88" i="4"/>
  <c r="F89" i="4"/>
  <c r="E89" i="4"/>
  <c r="G89" i="4"/>
  <c r="C90" i="4"/>
  <c r="D89" i="4"/>
  <c r="F90" i="4"/>
  <c r="E90" i="4"/>
  <c r="G90" i="4"/>
  <c r="C91" i="4"/>
  <c r="D90" i="4"/>
  <c r="F91" i="4"/>
  <c r="E91" i="4"/>
  <c r="G91" i="4"/>
  <c r="C92" i="4"/>
  <c r="D91" i="4"/>
  <c r="F92" i="4"/>
  <c r="E92" i="4"/>
  <c r="G92" i="4"/>
  <c r="C93" i="4"/>
  <c r="D92" i="4"/>
  <c r="F93" i="4"/>
  <c r="E93" i="4"/>
  <c r="G93" i="4"/>
  <c r="C94" i="4"/>
  <c r="D93" i="4"/>
  <c r="F94" i="4"/>
  <c r="E94" i="4"/>
  <c r="G94" i="4"/>
  <c r="C95" i="4"/>
  <c r="D94" i="4"/>
  <c r="F95" i="4"/>
  <c r="E95" i="4"/>
  <c r="G95" i="4"/>
  <c r="C96" i="4"/>
  <c r="D95" i="4"/>
  <c r="F96" i="4"/>
  <c r="E96" i="4"/>
  <c r="G96" i="4"/>
  <c r="C97" i="4"/>
  <c r="D96" i="4"/>
  <c r="F97" i="4"/>
  <c r="E97" i="4"/>
  <c r="G97" i="4"/>
  <c r="C98" i="4"/>
  <c r="D97" i="4"/>
  <c r="F98" i="4"/>
  <c r="E98" i="4"/>
  <c r="G98" i="4"/>
  <c r="C99" i="4"/>
  <c r="D98" i="4"/>
  <c r="F99" i="4"/>
  <c r="E99" i="4"/>
  <c r="G99" i="4"/>
  <c r="C100" i="4"/>
  <c r="D99" i="4"/>
  <c r="F100" i="4"/>
  <c r="E100" i="4"/>
  <c r="G100" i="4"/>
  <c r="C101" i="4"/>
  <c r="D100" i="4"/>
  <c r="F101" i="4"/>
  <c r="E101" i="4"/>
  <c r="G101" i="4"/>
  <c r="C102" i="4"/>
  <c r="D101" i="4"/>
  <c r="F102" i="4"/>
  <c r="E102" i="4"/>
  <c r="G102" i="4"/>
  <c r="C103" i="4"/>
  <c r="D102" i="4"/>
  <c r="F103" i="4"/>
  <c r="E103" i="4"/>
  <c r="G103" i="4"/>
  <c r="C104" i="4"/>
  <c r="D103" i="4"/>
  <c r="F104" i="4"/>
  <c r="E104" i="4"/>
  <c r="G104" i="4"/>
  <c r="C105" i="4"/>
  <c r="D104" i="4"/>
  <c r="F105" i="4"/>
  <c r="E105" i="4"/>
  <c r="G105" i="4"/>
  <c r="C106" i="4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2" i="4"/>
  <c r="D2" i="4"/>
  <c r="C3" i="4"/>
  <c r="D3" i="4"/>
  <c r="N4" i="2"/>
  <c r="Q4" i="2"/>
  <c r="P4" i="2"/>
  <c r="O3" i="2"/>
  <c r="I105" i="4"/>
  <c r="H105" i="4"/>
  <c r="D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T2" i="2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O2" i="2"/>
  <c r="U3" i="2"/>
  <c r="V3" i="2"/>
  <c r="T4" i="2"/>
  <c r="T3" i="2"/>
  <c r="V4" i="2"/>
  <c r="U4" i="2"/>
  <c r="D2" i="5"/>
  <c r="E2" i="5"/>
  <c r="F2" i="5"/>
  <c r="G2" i="5"/>
  <c r="H2" i="5"/>
  <c r="I2" i="5"/>
  <c r="J2" i="5"/>
  <c r="K2" i="5"/>
  <c r="L2" i="5"/>
  <c r="M2" i="5"/>
  <c r="C2" i="5"/>
  <c r="G2" i="4"/>
  <c r="A11" i="5"/>
  <c r="D2" i="3"/>
  <c r="D3" i="3"/>
  <c r="F2" i="3"/>
  <c r="H2" i="4"/>
  <c r="H3" i="4"/>
  <c r="J2" i="4"/>
  <c r="I3" i="4"/>
  <c r="I2" i="4"/>
  <c r="K2" i="4"/>
  <c r="E3" i="3"/>
  <c r="E2" i="3"/>
  <c r="G2" i="3"/>
</calcChain>
</file>

<file path=xl/sharedStrings.xml><?xml version="1.0" encoding="utf-8"?>
<sst xmlns="http://schemas.openxmlformats.org/spreadsheetml/2006/main" count="25" uniqueCount="16">
  <si>
    <t>Week</t>
  </si>
  <si>
    <t>Sold</t>
  </si>
  <si>
    <t>Simple</t>
  </si>
  <si>
    <t>alpha</t>
  </si>
  <si>
    <t>APE</t>
  </si>
  <si>
    <t>MAPE</t>
  </si>
  <si>
    <t>Adaptive</t>
  </si>
  <si>
    <t>SqErr</t>
  </si>
  <si>
    <t>SSE</t>
  </si>
  <si>
    <t>e_t</t>
  </si>
  <si>
    <t>Q_t</t>
  </si>
  <si>
    <t>D_t</t>
  </si>
  <si>
    <t>gamma</t>
  </si>
  <si>
    <t>omega</t>
  </si>
  <si>
    <t>Number of Units Sold</t>
  </si>
  <si>
    <t>Select Forecast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</si>
</sst>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0000000000000000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Border="1" applyAlignment="1">
      <alignment horizontal="right"/>
    </xf>
    <xf numFmtId="1" fontId="0" fillId="0" borderId="0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1" fontId="0" fillId="0" borderId="2" xfId="0" applyNumberFormat="1" applyBorder="1" applyAlignment="1" applyProtection="1">
      <alignment horizontal="right"/>
      <protection locked="0"/>
    </xf>
    <xf numFmtId="165" fontId="0" fillId="0" borderId="0" xfId="0" applyNumberFormat="1"/>
    <xf numFmtId="1" fontId="0" fillId="0" borderId="3" xfId="0" applyNumberFormat="1" applyBorder="1" applyAlignment="1">
      <alignment horizontal="center"/>
    </xf>
    <xf numFmtId="0" fontId="0" fillId="0" borderId="4" xfId="0" applyBorder="1"/>
    <xf numFmtId="1" fontId="0" fillId="0" borderId="5" xfId="0" applyNumberFormat="1" applyBorder="1" applyAlignment="1">
      <alignment horizontal="center"/>
    </xf>
    <xf numFmtId="0" fontId="0" fillId="0" borderId="2" xfId="0" applyBorder="1"/>
    <xf numFmtId="0" fontId="0" fillId="0" borderId="6" xfId="0" applyBorder="1"/>
    <xf numFmtId="1" fontId="0" fillId="0" borderId="0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8" xfId="0" applyBorder="1"/>
    <xf numFmtId="0" fontId="0" fillId="0" borderId="9" xfId="0" applyBorder="1"/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1" xfId="0" applyNumberFormat="1" applyBorder="1" applyAlignment="1" applyProtection="1">
      <alignment horizontal="right"/>
      <protection locked="0"/>
    </xf>
    <xf numFmtId="0" fontId="0" fillId="0" borderId="1" xfId="0" applyBorder="1" applyProtection="1">
      <protection locked="0"/>
    </xf>
    <xf numFmtId="1" fontId="0" fillId="0" borderId="2" xfId="0" applyNumberFormat="1" applyBorder="1" applyAlignment="1">
      <alignment horizontal="right"/>
    </xf>
    <xf numFmtId="164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2" xfId="0" applyNumberFormat="1" applyBorder="1"/>
    <xf numFmtId="164" fontId="0" fillId="0" borderId="2" xfId="0" applyNumberFormat="1" applyBorder="1" applyAlignment="1" applyProtection="1">
      <alignment horizontal="center"/>
      <protection locked="0"/>
    </xf>
    <xf numFmtId="2" fontId="0" fillId="0" borderId="2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Product</a:t>
            </a:r>
            <a:r>
              <a:rPr lang="en-GB" baseline="0"/>
              <a:t> 1 History &amp; Forecast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Start!$B$3</c:f>
              <c:strCache>
                <c:ptCount val="1"/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cat>
            <c:numRef>
              <c:f>Start!$C$2:$M$2</c:f>
              <c:numCache>
                <c:formatCode>General</c:formatCode>
                <c:ptCount val="11"/>
              </c:numCache>
            </c:numRef>
          </c:cat>
          <c:val>
            <c:numRef>
              <c:f>Start!$C$3:$M$3</c:f>
              <c:numCache>
                <c:formatCode>0</c:formatCode>
                <c:ptCount val="11"/>
              </c:numCache>
            </c:numRef>
          </c:val>
          <c:smooth val="0"/>
        </c:ser>
        <c:ser>
          <c:idx val="1"/>
          <c:order val="1"/>
          <c:tx>
            <c:strRef>
              <c:f>Start!$B$4</c:f>
              <c:strCache>
                <c:ptCount val="1"/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'Error Bars'!$C$2:$M$2</c:f>
                <c:numCache>
                  <c:formatCode>General</c:formatCode>
                  <c:ptCount val="1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</c:numCache>
              </c:numRef>
            </c:plus>
            <c:minus>
              <c:numRef>
                <c:f>'Error Bars'!$C$2:$M$2</c:f>
                <c:numCache>
                  <c:formatCode>General</c:formatCode>
                  <c:ptCount val="1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</c:numCache>
              </c:numRef>
            </c:minus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cat>
            <c:numRef>
              <c:f>Start!$C$2:$M$2</c:f>
              <c:numCache>
                <c:formatCode>General</c:formatCode>
                <c:ptCount val="11"/>
              </c:numCache>
            </c:numRef>
          </c:cat>
          <c:val>
            <c:numRef>
              <c:f>Start!$C$4:$M$4</c:f>
              <c:numCache>
                <c:formatCode>0</c:formatCode>
                <c:ptCount val="1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188080"/>
        <c:axId val="217188472"/>
        <c:extLst/>
      </c:lineChart>
      <c:catAx>
        <c:axId val="217188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 (</a:t>
                </a:r>
                <a:r>
                  <a:rPr lang="en-GB" sz="900" b="0" i="0" u="none" strike="noStrike" cap="all" baseline="0">
                    <a:effectLst/>
                  </a:rPr>
                  <a:t>in units)</a:t>
                </a:r>
                <a:r>
                  <a:rPr lang="en-GB"/>
                  <a:t> by week No. </a:t>
                </a:r>
              </a:p>
            </c:rich>
          </c:tx>
          <c:layout>
            <c:manualLayout>
              <c:xMode val="edge"/>
              <c:yMode val="edge"/>
              <c:x val="0.47892863057789692"/>
              <c:y val="0.94887573344720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188472"/>
        <c:crosses val="autoZero"/>
        <c:auto val="1"/>
        <c:lblAlgn val="ctr"/>
        <c:lblOffset val="100"/>
        <c:noMultiLvlLbl val="0"/>
      </c:catAx>
      <c:valAx>
        <c:axId val="217188472"/>
        <c:scaling>
          <c:orientation val="minMax"/>
          <c:max val="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units</a:t>
                </a:r>
              </a:p>
            </c:rich>
          </c:tx>
          <c:layout>
            <c:manualLayout>
              <c:xMode val="edge"/>
              <c:yMode val="edge"/>
              <c:x val="8.0730919942697571E-2"/>
              <c:y val="0.424452873058492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188080"/>
        <c:crosses val="autoZero"/>
        <c:crossBetween val="between"/>
      </c:valAx>
      <c:dTable>
        <c:showHorzBorder val="0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134048</xdr:rowOff>
        </xdr:from>
        <xdr:to>
          <xdr:col>20</xdr:col>
          <xdr:colOff>215435</xdr:colOff>
          <xdr:row>10</xdr:row>
          <xdr:rowOff>33512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Simple Exponential Forecast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1053237</xdr:colOff>
      <xdr:row>5</xdr:row>
      <xdr:rowOff>119681</xdr:rowOff>
    </xdr:from>
    <xdr:to>
      <xdr:col>17</xdr:col>
      <xdr:colOff>14363</xdr:colOff>
      <xdr:row>32</xdr:row>
      <xdr:rowOff>162768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411719</xdr:colOff>
          <xdr:row>6</xdr:row>
          <xdr:rowOff>134048</xdr:rowOff>
        </xdr:from>
        <xdr:to>
          <xdr:col>22</xdr:col>
          <xdr:colOff>81386</xdr:colOff>
          <xdr:row>10</xdr:row>
          <xdr:rowOff>33512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Adaptive Exponential 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X23"/>
  <sheetViews>
    <sheetView showGridLines="0" showRowColHeaders="0" tabSelected="1" zoomScaleNormal="100" workbookViewId="0">
      <selection activeCell="H19" sqref="H19"/>
    </sheetView>
  </sheetViews>
  <sheetFormatPr defaultColWidth="8.796875" defaultRowHeight="14.35" x14ac:dyDescent="0.45"/>
  <cols>
    <col min="1" max="2" width="14.86328125" bestFit="1" customWidth="1"/>
    <col min="3" max="3" width="7.6640625" customWidth="1"/>
    <col min="4" max="5" width="7.6640625" style="3" customWidth="1"/>
    <col min="6" max="6" width="7.6640625" customWidth="1"/>
    <col min="7" max="7" width="7.6640625" style="5" customWidth="1"/>
    <col min="8" max="8" width="7.6640625" style="1" customWidth="1"/>
    <col min="9" max="12" width="7.6640625" customWidth="1"/>
    <col min="13" max="13" width="7.6640625" style="6" customWidth="1"/>
    <col min="14" max="15" width="5.59765625" style="8" bestFit="1" customWidth="1"/>
    <col min="16" max="16" width="1.6640625" style="7" bestFit="1" customWidth="1"/>
    <col min="17" max="17" width="3.73046875" style="1" bestFit="1" customWidth="1"/>
    <col min="18" max="18" width="10" style="7" customWidth="1"/>
    <col min="19" max="19" width="2.59765625" style="7" customWidth="1"/>
    <col min="20" max="21" width="8.59765625" customWidth="1"/>
    <col min="23" max="23" width="3" customWidth="1"/>
  </cols>
  <sheetData>
    <row r="1" spans="1:24" ht="14.7" thickBot="1" x14ac:dyDescent="0.5">
      <c r="A1" s="1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35"/>
      <c r="O1" s="36"/>
      <c r="P1" s="37"/>
      <c r="Q1" s="38"/>
    </row>
    <row r="2" spans="1:24" ht="14.7" thickBot="1" x14ac:dyDescent="0.5">
      <c r="A2" s="9"/>
      <c r="B2" s="33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O2" s="42" t="str">
        <f>IF($M$4="","","Error Tracking")</f>
        <v/>
      </c>
      <c r="P2" s="42"/>
      <c r="Q2" s="42"/>
      <c r="R2" s="1"/>
      <c r="T2" s="43" t="str">
        <f>IF($M$4="","","Forecast Range for Week " &amp; $M$2)</f>
        <v/>
      </c>
      <c r="U2" s="44"/>
      <c r="V2" s="45"/>
    </row>
    <row r="3" spans="1:24" x14ac:dyDescent="0.45">
      <c r="A3" s="9"/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3"/>
      <c r="O3" s="41" t="str">
        <f>IF($M$4="","","(MAPE)")</f>
        <v/>
      </c>
      <c r="P3" s="41"/>
      <c r="Q3" s="41"/>
      <c r="R3" s="1"/>
      <c r="T3" s="28" t="str">
        <f>IF($M$4="","","Lower")</f>
        <v/>
      </c>
      <c r="U3" s="27" t="str">
        <f>IF($M$4="","","Expected")</f>
        <v/>
      </c>
      <c r="V3" s="29" t="str">
        <f>IF($M$4="","","Upper")</f>
        <v/>
      </c>
    </row>
    <row r="4" spans="1:24" ht="14.7" thickBot="1" x14ac:dyDescent="0.5">
      <c r="A4" s="9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2" t="str">
        <f>IF($M$4="","","+/-")</f>
        <v/>
      </c>
      <c r="O4" s="39"/>
      <c r="P4" s="40" t="str">
        <f>IF($M$4="","","=")</f>
        <v/>
      </c>
      <c r="Q4" s="37" t="str">
        <f>IF($M$4="","",L3*O4)</f>
        <v/>
      </c>
      <c r="R4" s="1"/>
      <c r="T4" s="30" t="str">
        <f>IF($M$4="","",M4-Q4)</f>
        <v/>
      </c>
      <c r="U4" s="31" t="str">
        <f>IF($M$4="","",M4)</f>
        <v/>
      </c>
      <c r="V4" s="32" t="str">
        <f>IF($M$4="","",M4+Q4)</f>
        <v/>
      </c>
    </row>
    <row r="5" spans="1:24" ht="14.7" thickBot="1" x14ac:dyDescent="0.5">
      <c r="B5" s="1"/>
    </row>
    <row r="6" spans="1:24" ht="14.7" thickBot="1" x14ac:dyDescent="0.5">
      <c r="B6" s="1"/>
      <c r="S6" s="23"/>
      <c r="T6" s="24"/>
      <c r="U6" s="24" t="s">
        <v>15</v>
      </c>
      <c r="V6" s="25"/>
      <c r="W6" s="26"/>
    </row>
    <row r="7" spans="1:24" x14ac:dyDescent="0.45">
      <c r="B7" s="1"/>
      <c r="S7" s="17"/>
      <c r="T7" s="11"/>
      <c r="U7" s="11"/>
      <c r="V7" s="11"/>
      <c r="W7" s="18"/>
    </row>
    <row r="8" spans="1:24" x14ac:dyDescent="0.45">
      <c r="B8" s="1"/>
      <c r="S8" s="17"/>
      <c r="T8" s="11"/>
      <c r="U8" s="11"/>
      <c r="V8" s="11"/>
      <c r="W8" s="18"/>
    </row>
    <row r="9" spans="1:24" x14ac:dyDescent="0.45">
      <c r="B9" s="1"/>
      <c r="S9" s="17"/>
      <c r="T9" s="11"/>
      <c r="U9" s="11"/>
      <c r="V9" s="11"/>
      <c r="W9" s="18"/>
    </row>
    <row r="10" spans="1:24" x14ac:dyDescent="0.45">
      <c r="B10" s="1"/>
      <c r="F10" s="1"/>
      <c r="G10" s="4"/>
      <c r="K10" s="1"/>
      <c r="L10" s="1"/>
      <c r="S10" s="17"/>
      <c r="T10" s="11"/>
      <c r="U10" s="11"/>
      <c r="V10" s="11"/>
      <c r="W10" s="18"/>
    </row>
    <row r="11" spans="1:24" ht="14.7" thickBot="1" x14ac:dyDescent="0.5">
      <c r="B11" s="1"/>
      <c r="G11" s="4"/>
      <c r="K11" s="1"/>
      <c r="L11" s="1"/>
      <c r="S11" s="19"/>
      <c r="T11" s="20"/>
      <c r="U11" s="20"/>
      <c r="V11" s="20"/>
      <c r="W11" s="21"/>
    </row>
    <row r="13" spans="1:24" x14ac:dyDescent="0.45">
      <c r="R13" s="22"/>
      <c r="S13" s="22"/>
      <c r="T13" s="11"/>
      <c r="U13" s="11"/>
      <c r="V13" s="11"/>
      <c r="W13" s="11"/>
      <c r="X13" s="11"/>
    </row>
    <row r="21" spans="4:12" x14ac:dyDescent="0.45">
      <c r="D21"/>
      <c r="E21"/>
      <c r="G21"/>
      <c r="H21"/>
    </row>
    <row r="22" spans="4:12" x14ac:dyDescent="0.45">
      <c r="K22" s="1"/>
      <c r="L22" s="4"/>
    </row>
    <row r="23" spans="4:12" x14ac:dyDescent="0.45">
      <c r="K23" s="1"/>
      <c r="L23" s="4"/>
    </row>
  </sheetData>
  <sheetProtection sheet="1" objects="1" scenarios="1" selectLockedCells="1" selectUnlockedCells="1"/>
  <mergeCells count="3">
    <mergeCell ref="O3:Q3"/>
    <mergeCell ref="O2:Q2"/>
    <mergeCell ref="T2:V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pleFcast">
                <anchor moveWithCells="1" sizeWithCells="1">
                  <from>
                    <xdr:col>19</xdr:col>
                    <xdr:colOff>0</xdr:colOff>
                    <xdr:row>6</xdr:row>
                    <xdr:rowOff>134048</xdr:rowOff>
                  </from>
                  <to>
                    <xdr:col>20</xdr:col>
                    <xdr:colOff>215435</xdr:colOff>
                    <xdr:row>10</xdr:row>
                    <xdr:rowOff>33512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aptiveFcast">
                <anchor moveWithCells="1" sizeWithCells="1">
                  <from>
                    <xdr:col>20</xdr:col>
                    <xdr:colOff>411719</xdr:colOff>
                    <xdr:row>6</xdr:row>
                    <xdr:rowOff>134048</xdr:rowOff>
                  </from>
                  <to>
                    <xdr:col>22</xdr:col>
                    <xdr:colOff>81386</xdr:colOff>
                    <xdr:row>10</xdr:row>
                    <xdr:rowOff>33512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5"/>
  <sheetViews>
    <sheetView showGridLines="0" showRowColHeaders="0" workbookViewId="0">
      <pane ySplit="1" topLeftCell="A2" activePane="bottomLeft" state="frozen"/>
      <selection pane="bottomLeft" sqref="A1:B1"/>
    </sheetView>
  </sheetViews>
  <sheetFormatPr defaultColWidth="8.796875" defaultRowHeight="14.35" x14ac:dyDescent="0.45"/>
  <cols>
    <col min="2" max="2" width="13.33203125" customWidth="1"/>
  </cols>
  <sheetData>
    <row r="1" spans="1:2" x14ac:dyDescent="0.45">
      <c r="A1" s="3" t="s">
        <v>0</v>
      </c>
      <c r="B1" s="3" t="s">
        <v>1</v>
      </c>
    </row>
    <row r="2" spans="1:2" x14ac:dyDescent="0.45">
      <c r="A2">
        <v>1</v>
      </c>
      <c r="B2">
        <v>1525</v>
      </c>
    </row>
    <row r="3" spans="1:2" x14ac:dyDescent="0.45">
      <c r="A3">
        <v>2</v>
      </c>
      <c r="B3">
        <v>1960</v>
      </c>
    </row>
    <row r="4" spans="1:2" x14ac:dyDescent="0.45">
      <c r="A4">
        <v>3</v>
      </c>
      <c r="B4">
        <v>2062</v>
      </c>
    </row>
    <row r="5" spans="1:2" x14ac:dyDescent="0.45">
      <c r="A5">
        <v>4</v>
      </c>
      <c r="B5">
        <v>2214</v>
      </c>
    </row>
    <row r="6" spans="1:2" x14ac:dyDescent="0.45">
      <c r="A6">
        <v>5</v>
      </c>
      <c r="B6">
        <v>1622</v>
      </c>
    </row>
    <row r="7" spans="1:2" x14ac:dyDescent="0.45">
      <c r="A7">
        <v>6</v>
      </c>
      <c r="B7">
        <v>1927</v>
      </c>
    </row>
    <row r="8" spans="1:2" x14ac:dyDescent="0.45">
      <c r="A8">
        <v>7</v>
      </c>
      <c r="B8">
        <v>1952</v>
      </c>
    </row>
    <row r="9" spans="1:2" x14ac:dyDescent="0.45">
      <c r="A9">
        <v>8</v>
      </c>
      <c r="B9">
        <v>2215</v>
      </c>
    </row>
    <row r="10" spans="1:2" x14ac:dyDescent="0.45">
      <c r="A10">
        <v>9</v>
      </c>
      <c r="B10">
        <v>2010</v>
      </c>
    </row>
    <row r="11" spans="1:2" x14ac:dyDescent="0.45">
      <c r="A11">
        <v>10</v>
      </c>
      <c r="B11">
        <v>2068</v>
      </c>
    </row>
    <row r="12" spans="1:2" x14ac:dyDescent="0.45">
      <c r="A12">
        <v>11</v>
      </c>
      <c r="B12">
        <v>1866</v>
      </c>
    </row>
    <row r="13" spans="1:2" x14ac:dyDescent="0.45">
      <c r="A13">
        <v>12</v>
      </c>
      <c r="B13">
        <v>1445</v>
      </c>
    </row>
    <row r="14" spans="1:2" x14ac:dyDescent="0.45">
      <c r="A14">
        <v>13</v>
      </c>
      <c r="B14">
        <v>1724</v>
      </c>
    </row>
    <row r="15" spans="1:2" x14ac:dyDescent="0.45">
      <c r="A15">
        <v>14</v>
      </c>
      <c r="B15">
        <v>2421</v>
      </c>
    </row>
    <row r="16" spans="1:2" x14ac:dyDescent="0.45">
      <c r="A16">
        <v>15</v>
      </c>
      <c r="B16">
        <v>1797</v>
      </c>
    </row>
    <row r="17" spans="1:2" x14ac:dyDescent="0.45">
      <c r="A17">
        <v>16</v>
      </c>
      <c r="B17">
        <v>2289</v>
      </c>
    </row>
    <row r="18" spans="1:2" x14ac:dyDescent="0.45">
      <c r="A18">
        <v>17</v>
      </c>
      <c r="B18">
        <v>2072</v>
      </c>
    </row>
    <row r="19" spans="1:2" x14ac:dyDescent="0.45">
      <c r="A19">
        <v>18</v>
      </c>
      <c r="B19">
        <v>2653</v>
      </c>
    </row>
    <row r="20" spans="1:2" x14ac:dyDescent="0.45">
      <c r="A20">
        <v>19</v>
      </c>
      <c r="B20">
        <v>2558</v>
      </c>
    </row>
    <row r="21" spans="1:2" x14ac:dyDescent="0.45">
      <c r="A21">
        <v>20</v>
      </c>
      <c r="B21">
        <v>1713</v>
      </c>
    </row>
    <row r="22" spans="1:2" x14ac:dyDescent="0.45">
      <c r="A22">
        <v>21</v>
      </c>
      <c r="B22">
        <v>2207</v>
      </c>
    </row>
    <row r="23" spans="1:2" x14ac:dyDescent="0.45">
      <c r="A23">
        <v>22</v>
      </c>
      <c r="B23">
        <v>2141</v>
      </c>
    </row>
    <row r="24" spans="1:2" x14ac:dyDescent="0.45">
      <c r="A24">
        <v>23</v>
      </c>
      <c r="B24">
        <v>2546</v>
      </c>
    </row>
    <row r="25" spans="1:2" x14ac:dyDescent="0.45">
      <c r="A25">
        <v>24</v>
      </c>
      <c r="B25">
        <v>2322</v>
      </c>
    </row>
    <row r="26" spans="1:2" x14ac:dyDescent="0.45">
      <c r="A26">
        <v>25</v>
      </c>
      <c r="B26">
        <v>2296</v>
      </c>
    </row>
    <row r="27" spans="1:2" x14ac:dyDescent="0.45">
      <c r="A27">
        <v>26</v>
      </c>
      <c r="B27">
        <v>2633</v>
      </c>
    </row>
    <row r="28" spans="1:2" x14ac:dyDescent="0.45">
      <c r="A28">
        <v>27</v>
      </c>
      <c r="B28">
        <v>2574</v>
      </c>
    </row>
    <row r="29" spans="1:2" x14ac:dyDescent="0.45">
      <c r="A29">
        <v>28</v>
      </c>
      <c r="B29">
        <v>2646</v>
      </c>
    </row>
    <row r="30" spans="1:2" x14ac:dyDescent="0.45">
      <c r="A30">
        <v>29</v>
      </c>
      <c r="B30">
        <v>2015</v>
      </c>
    </row>
    <row r="31" spans="1:2" x14ac:dyDescent="0.45">
      <c r="A31">
        <v>30</v>
      </c>
      <c r="B31">
        <v>1998</v>
      </c>
    </row>
    <row r="32" spans="1:2" x14ac:dyDescent="0.45">
      <c r="A32">
        <v>31</v>
      </c>
      <c r="B32">
        <v>2976</v>
      </c>
    </row>
    <row r="33" spans="1:2" x14ac:dyDescent="0.45">
      <c r="A33">
        <v>32</v>
      </c>
      <c r="B33">
        <v>1867</v>
      </c>
    </row>
    <row r="34" spans="1:2" x14ac:dyDescent="0.45">
      <c r="A34">
        <v>33</v>
      </c>
      <c r="B34">
        <v>1846</v>
      </c>
    </row>
    <row r="35" spans="1:2" x14ac:dyDescent="0.45">
      <c r="A35">
        <v>34</v>
      </c>
      <c r="B35">
        <v>2765</v>
      </c>
    </row>
    <row r="36" spans="1:2" x14ac:dyDescent="0.45">
      <c r="A36">
        <v>35</v>
      </c>
      <c r="B36">
        <v>2088</v>
      </c>
    </row>
    <row r="37" spans="1:2" x14ac:dyDescent="0.45">
      <c r="A37">
        <v>36</v>
      </c>
      <c r="B37">
        <v>2554</v>
      </c>
    </row>
    <row r="38" spans="1:2" x14ac:dyDescent="0.45">
      <c r="A38">
        <v>37</v>
      </c>
      <c r="B38">
        <v>1980</v>
      </c>
    </row>
    <row r="39" spans="1:2" x14ac:dyDescent="0.45">
      <c r="A39">
        <v>38</v>
      </c>
      <c r="B39">
        <v>2843</v>
      </c>
    </row>
    <row r="40" spans="1:2" x14ac:dyDescent="0.45">
      <c r="A40">
        <v>39</v>
      </c>
      <c r="B40">
        <v>2328</v>
      </c>
    </row>
    <row r="41" spans="1:2" x14ac:dyDescent="0.45">
      <c r="A41">
        <v>40</v>
      </c>
      <c r="B41">
        <v>2404</v>
      </c>
    </row>
    <row r="42" spans="1:2" x14ac:dyDescent="0.45">
      <c r="A42">
        <v>41</v>
      </c>
      <c r="B42">
        <v>1614</v>
      </c>
    </row>
    <row r="43" spans="1:2" x14ac:dyDescent="0.45">
      <c r="A43">
        <v>42</v>
      </c>
      <c r="B43">
        <v>1851</v>
      </c>
    </row>
    <row r="44" spans="1:2" x14ac:dyDescent="0.45">
      <c r="A44">
        <v>43</v>
      </c>
      <c r="B44">
        <v>1648</v>
      </c>
    </row>
    <row r="45" spans="1:2" x14ac:dyDescent="0.45">
      <c r="A45">
        <v>44</v>
      </c>
      <c r="B45">
        <v>1637</v>
      </c>
    </row>
    <row r="46" spans="1:2" x14ac:dyDescent="0.45">
      <c r="A46">
        <v>45</v>
      </c>
      <c r="B46">
        <v>2211</v>
      </c>
    </row>
    <row r="47" spans="1:2" x14ac:dyDescent="0.45">
      <c r="A47">
        <v>46</v>
      </c>
      <c r="B47">
        <v>1754</v>
      </c>
    </row>
    <row r="48" spans="1:2" x14ac:dyDescent="0.45">
      <c r="A48">
        <v>47</v>
      </c>
      <c r="B48">
        <v>1600</v>
      </c>
    </row>
    <row r="49" spans="1:2" x14ac:dyDescent="0.45">
      <c r="A49">
        <v>48</v>
      </c>
      <c r="B49">
        <v>2002</v>
      </c>
    </row>
    <row r="50" spans="1:2" x14ac:dyDescent="0.45">
      <c r="A50">
        <v>49</v>
      </c>
      <c r="B50">
        <v>1813</v>
      </c>
    </row>
    <row r="51" spans="1:2" x14ac:dyDescent="0.45">
      <c r="A51">
        <v>50</v>
      </c>
      <c r="B51">
        <v>2025</v>
      </c>
    </row>
    <row r="52" spans="1:2" x14ac:dyDescent="0.45">
      <c r="A52">
        <v>51</v>
      </c>
      <c r="B52">
        <v>1508</v>
      </c>
    </row>
    <row r="53" spans="1:2" x14ac:dyDescent="0.45">
      <c r="A53">
        <v>52</v>
      </c>
      <c r="B53">
        <v>1694</v>
      </c>
    </row>
    <row r="54" spans="1:2" x14ac:dyDescent="0.45">
      <c r="A54">
        <v>53</v>
      </c>
      <c r="B54">
        <v>2007</v>
      </c>
    </row>
    <row r="55" spans="1:2" x14ac:dyDescent="0.45">
      <c r="A55">
        <v>54</v>
      </c>
      <c r="B55">
        <v>1643</v>
      </c>
    </row>
    <row r="56" spans="1:2" x14ac:dyDescent="0.45">
      <c r="A56">
        <v>55</v>
      </c>
      <c r="B56">
        <v>1917</v>
      </c>
    </row>
    <row r="57" spans="1:2" x14ac:dyDescent="0.45">
      <c r="A57">
        <v>56</v>
      </c>
      <c r="B57">
        <v>1722</v>
      </c>
    </row>
    <row r="58" spans="1:2" x14ac:dyDescent="0.45">
      <c r="A58">
        <v>57</v>
      </c>
      <c r="B58">
        <v>1440</v>
      </c>
    </row>
    <row r="59" spans="1:2" x14ac:dyDescent="0.45">
      <c r="A59">
        <v>58</v>
      </c>
      <c r="B59">
        <v>1776</v>
      </c>
    </row>
    <row r="60" spans="1:2" x14ac:dyDescent="0.45">
      <c r="A60">
        <v>59</v>
      </c>
      <c r="B60">
        <v>2243</v>
      </c>
    </row>
    <row r="61" spans="1:2" x14ac:dyDescent="0.45">
      <c r="A61">
        <v>60</v>
      </c>
      <c r="B61">
        <v>1639</v>
      </c>
    </row>
    <row r="62" spans="1:2" x14ac:dyDescent="0.45">
      <c r="A62">
        <v>61</v>
      </c>
      <c r="B62">
        <v>1717</v>
      </c>
    </row>
    <row r="63" spans="1:2" x14ac:dyDescent="0.45">
      <c r="A63">
        <v>62</v>
      </c>
      <c r="B63">
        <v>2664</v>
      </c>
    </row>
    <row r="64" spans="1:2" x14ac:dyDescent="0.45">
      <c r="A64">
        <v>63</v>
      </c>
      <c r="B64">
        <v>2064</v>
      </c>
    </row>
    <row r="65" spans="1:2" x14ac:dyDescent="0.45">
      <c r="A65">
        <v>64</v>
      </c>
      <c r="B65">
        <v>1993</v>
      </c>
    </row>
    <row r="66" spans="1:2" x14ac:dyDescent="0.45">
      <c r="A66">
        <v>65</v>
      </c>
      <c r="B66">
        <v>1870</v>
      </c>
    </row>
    <row r="67" spans="1:2" x14ac:dyDescent="0.45">
      <c r="A67">
        <v>66</v>
      </c>
      <c r="B67">
        <v>2328</v>
      </c>
    </row>
    <row r="68" spans="1:2" x14ac:dyDescent="0.45">
      <c r="A68">
        <v>67</v>
      </c>
      <c r="B68">
        <v>1825</v>
      </c>
    </row>
    <row r="69" spans="1:2" x14ac:dyDescent="0.45">
      <c r="A69">
        <v>68</v>
      </c>
      <c r="B69">
        <v>2660</v>
      </c>
    </row>
    <row r="70" spans="1:2" x14ac:dyDescent="0.45">
      <c r="A70">
        <v>69</v>
      </c>
      <c r="B70">
        <v>2956</v>
      </c>
    </row>
    <row r="71" spans="1:2" x14ac:dyDescent="0.45">
      <c r="A71">
        <v>70</v>
      </c>
      <c r="B71">
        <v>2642</v>
      </c>
    </row>
    <row r="72" spans="1:2" x14ac:dyDescent="0.45">
      <c r="A72">
        <v>71</v>
      </c>
      <c r="B72">
        <v>2485</v>
      </c>
    </row>
    <row r="73" spans="1:2" x14ac:dyDescent="0.45">
      <c r="A73">
        <v>72</v>
      </c>
      <c r="B73">
        <v>2701</v>
      </c>
    </row>
    <row r="74" spans="1:2" x14ac:dyDescent="0.45">
      <c r="A74">
        <v>73</v>
      </c>
      <c r="B74">
        <v>2676</v>
      </c>
    </row>
    <row r="75" spans="1:2" x14ac:dyDescent="0.45">
      <c r="A75">
        <v>74</v>
      </c>
      <c r="B75">
        <v>2471</v>
      </c>
    </row>
    <row r="76" spans="1:2" x14ac:dyDescent="0.45">
      <c r="A76">
        <v>75</v>
      </c>
      <c r="B76">
        <v>2274</v>
      </c>
    </row>
    <row r="77" spans="1:2" x14ac:dyDescent="0.45">
      <c r="A77">
        <v>76</v>
      </c>
      <c r="B77">
        <v>2916</v>
      </c>
    </row>
    <row r="78" spans="1:2" x14ac:dyDescent="0.45">
      <c r="A78">
        <v>77</v>
      </c>
      <c r="B78">
        <v>2569</v>
      </c>
    </row>
    <row r="79" spans="1:2" x14ac:dyDescent="0.45">
      <c r="A79">
        <v>78</v>
      </c>
      <c r="B79">
        <v>2728</v>
      </c>
    </row>
    <row r="80" spans="1:2" x14ac:dyDescent="0.45">
      <c r="A80">
        <v>79</v>
      </c>
      <c r="B80">
        <v>2744</v>
      </c>
    </row>
    <row r="81" spans="1:2" x14ac:dyDescent="0.45">
      <c r="A81">
        <v>80</v>
      </c>
      <c r="B81">
        <v>2063</v>
      </c>
    </row>
    <row r="82" spans="1:2" x14ac:dyDescent="0.45">
      <c r="A82">
        <v>81</v>
      </c>
      <c r="B82">
        <v>2219</v>
      </c>
    </row>
    <row r="83" spans="1:2" x14ac:dyDescent="0.45">
      <c r="A83">
        <v>82</v>
      </c>
      <c r="B83">
        <v>2696</v>
      </c>
    </row>
    <row r="84" spans="1:2" x14ac:dyDescent="0.45">
      <c r="A84">
        <v>83</v>
      </c>
      <c r="B84">
        <v>2526</v>
      </c>
    </row>
    <row r="85" spans="1:2" x14ac:dyDescent="0.45">
      <c r="A85">
        <v>84</v>
      </c>
      <c r="B85">
        <v>2016</v>
      </c>
    </row>
    <row r="86" spans="1:2" x14ac:dyDescent="0.45">
      <c r="A86">
        <v>85</v>
      </c>
      <c r="B86">
        <v>2952</v>
      </c>
    </row>
    <row r="87" spans="1:2" x14ac:dyDescent="0.45">
      <c r="A87">
        <v>86</v>
      </c>
      <c r="B87">
        <v>2458</v>
      </c>
    </row>
    <row r="88" spans="1:2" x14ac:dyDescent="0.45">
      <c r="A88">
        <v>87</v>
      </c>
      <c r="B88">
        <v>2908</v>
      </c>
    </row>
    <row r="89" spans="1:2" x14ac:dyDescent="0.45">
      <c r="A89">
        <v>88</v>
      </c>
      <c r="B89">
        <v>1694</v>
      </c>
    </row>
    <row r="90" spans="1:2" x14ac:dyDescent="0.45">
      <c r="A90">
        <v>89</v>
      </c>
      <c r="B90">
        <v>2561</v>
      </c>
    </row>
    <row r="91" spans="1:2" x14ac:dyDescent="0.45">
      <c r="A91">
        <v>90</v>
      </c>
      <c r="B91">
        <v>1687</v>
      </c>
    </row>
    <row r="92" spans="1:2" x14ac:dyDescent="0.45">
      <c r="A92">
        <v>91</v>
      </c>
      <c r="B92">
        <v>1772</v>
      </c>
    </row>
    <row r="93" spans="1:2" x14ac:dyDescent="0.45">
      <c r="A93">
        <v>92</v>
      </c>
      <c r="B93">
        <v>1855</v>
      </c>
    </row>
    <row r="94" spans="1:2" x14ac:dyDescent="0.45">
      <c r="A94">
        <v>93</v>
      </c>
      <c r="B94">
        <v>2068</v>
      </c>
    </row>
    <row r="95" spans="1:2" x14ac:dyDescent="0.45">
      <c r="A95">
        <v>94</v>
      </c>
      <c r="B95">
        <v>2170</v>
      </c>
    </row>
    <row r="96" spans="1:2" x14ac:dyDescent="0.45">
      <c r="A96">
        <v>95</v>
      </c>
      <c r="B96">
        <v>1864</v>
      </c>
    </row>
    <row r="97" spans="1:2" x14ac:dyDescent="0.45">
      <c r="A97">
        <v>96</v>
      </c>
      <c r="B97">
        <v>1508</v>
      </c>
    </row>
    <row r="98" spans="1:2" x14ac:dyDescent="0.45">
      <c r="A98">
        <v>97</v>
      </c>
      <c r="B98">
        <v>1622</v>
      </c>
    </row>
    <row r="99" spans="1:2" x14ac:dyDescent="0.45">
      <c r="A99">
        <v>98</v>
      </c>
      <c r="B99">
        <v>1635</v>
      </c>
    </row>
    <row r="100" spans="1:2" x14ac:dyDescent="0.45">
      <c r="A100">
        <v>99</v>
      </c>
      <c r="B100">
        <v>1503</v>
      </c>
    </row>
    <row r="101" spans="1:2" x14ac:dyDescent="0.45">
      <c r="A101">
        <v>100</v>
      </c>
      <c r="B101">
        <v>1799</v>
      </c>
    </row>
    <row r="102" spans="1:2" x14ac:dyDescent="0.45">
      <c r="A102">
        <v>101</v>
      </c>
      <c r="B102">
        <v>2172</v>
      </c>
    </row>
    <row r="103" spans="1:2" x14ac:dyDescent="0.45">
      <c r="A103">
        <v>102</v>
      </c>
      <c r="B103">
        <v>1475</v>
      </c>
    </row>
    <row r="104" spans="1:2" x14ac:dyDescent="0.45">
      <c r="A104">
        <v>103</v>
      </c>
      <c r="B104">
        <v>1985</v>
      </c>
    </row>
    <row r="105" spans="1:2" x14ac:dyDescent="0.45">
      <c r="A105">
        <v>104</v>
      </c>
      <c r="B105">
        <v>1476</v>
      </c>
    </row>
  </sheetData>
  <sheetProtection sheet="1" objects="1" scenarios="1" selectLockedCells="1" selectUnlockedCells="1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1"/>
  <sheetViews>
    <sheetView workbookViewId="0">
      <selection activeCell="C2" sqref="C2:M2"/>
    </sheetView>
  </sheetViews>
  <sheetFormatPr defaultColWidth="8.796875" defaultRowHeight="14.35" x14ac:dyDescent="0.45"/>
  <sheetData>
    <row r="1" spans="1:13" x14ac:dyDescent="0.45">
      <c r="A1">
        <v>0</v>
      </c>
      <c r="C1" s="6">
        <v>2056.4505433671293</v>
      </c>
      <c r="D1" s="6">
        <v>2043.0868461627829</v>
      </c>
      <c r="E1" s="6">
        <v>1955.3087276352267</v>
      </c>
      <c r="F1" s="6">
        <v>1831.2568299165591</v>
      </c>
      <c r="G1" s="6">
        <v>1739.4386691590032</v>
      </c>
      <c r="H1" s="6">
        <v>1616.6078176771739</v>
      </c>
      <c r="I1" s="6">
        <v>1721.8887003350583</v>
      </c>
      <c r="J1" s="6">
        <v>1912.1542516545214</v>
      </c>
      <c r="K1" s="6">
        <v>1864.1710631574881</v>
      </c>
      <c r="L1" s="6">
        <v>1898.8648878830434</v>
      </c>
      <c r="M1" s="6">
        <v>1810.0829292635281</v>
      </c>
    </row>
    <row r="2" spans="1:13" x14ac:dyDescent="0.45">
      <c r="A2">
        <v>0</v>
      </c>
      <c r="C2">
        <f>C1*Start!$O$4</f>
        <v>0</v>
      </c>
      <c r="D2">
        <f>D1*Start!$O$4</f>
        <v>0</v>
      </c>
      <c r="E2">
        <f>E1*Start!$O$4</f>
        <v>0</v>
      </c>
      <c r="F2">
        <f>F1*Start!$O$4</f>
        <v>0</v>
      </c>
      <c r="G2">
        <f>G1*Start!$O$4</f>
        <v>0</v>
      </c>
      <c r="H2">
        <f>H1*Start!$O$4</f>
        <v>0</v>
      </c>
      <c r="I2">
        <f>I1*Start!$O$4</f>
        <v>0</v>
      </c>
      <c r="J2">
        <f>J1*Start!$O$4</f>
        <v>0</v>
      </c>
      <c r="K2">
        <f>K1*Start!$O$4</f>
        <v>0</v>
      </c>
      <c r="L2">
        <f>L1*Start!$O$4</f>
        <v>0</v>
      </c>
      <c r="M2">
        <f>M1*Start!$O$4</f>
        <v>0</v>
      </c>
    </row>
    <row r="3" spans="1:13" x14ac:dyDescent="0.45">
      <c r="A3">
        <v>0</v>
      </c>
    </row>
    <row r="4" spans="1:13" x14ac:dyDescent="0.45">
      <c r="A4">
        <v>0</v>
      </c>
    </row>
    <row r="5" spans="1:13" x14ac:dyDescent="0.45">
      <c r="A5">
        <v>0</v>
      </c>
    </row>
    <row r="6" spans="1:13" x14ac:dyDescent="0.45">
      <c r="A6">
        <v>0</v>
      </c>
    </row>
    <row r="7" spans="1:13" x14ac:dyDescent="0.45">
      <c r="A7">
        <v>0</v>
      </c>
    </row>
    <row r="8" spans="1:13" x14ac:dyDescent="0.45">
      <c r="A8">
        <v>0</v>
      </c>
    </row>
    <row r="9" spans="1:13" x14ac:dyDescent="0.45">
      <c r="A9">
        <v>0</v>
      </c>
    </row>
    <row r="10" spans="1:13" x14ac:dyDescent="0.45">
      <c r="A10">
        <v>0</v>
      </c>
    </row>
    <row r="11" spans="1:13" x14ac:dyDescent="0.45">
      <c r="A11" s="1" t="str">
        <f>Start!Q4</f>
        <v/>
      </c>
      <c r="B11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20"/>
  <sheetViews>
    <sheetView topLeftCell="A73" workbookViewId="0">
      <selection activeCell="C106" sqref="C106"/>
    </sheetView>
  </sheetViews>
  <sheetFormatPr defaultColWidth="8.796875" defaultRowHeight="14.35" x14ac:dyDescent="0.45"/>
  <cols>
    <col min="2" max="2" width="13.33203125" customWidth="1"/>
    <col min="8" max="8" width="8.796875" style="2"/>
  </cols>
  <sheetData>
    <row r="1" spans="1:12" x14ac:dyDescent="0.45">
      <c r="A1" s="3" t="s">
        <v>0</v>
      </c>
      <c r="B1" s="3" t="s">
        <v>1</v>
      </c>
      <c r="C1" t="s">
        <v>2</v>
      </c>
      <c r="D1" t="s">
        <v>4</v>
      </c>
      <c r="E1" t="s">
        <v>7</v>
      </c>
      <c r="F1" t="s">
        <v>5</v>
      </c>
      <c r="G1" t="s">
        <v>8</v>
      </c>
      <c r="H1" s="2" t="s">
        <v>3</v>
      </c>
      <c r="K1" t="s">
        <v>0</v>
      </c>
      <c r="L1" t="s">
        <v>14</v>
      </c>
    </row>
    <row r="2" spans="1:12" x14ac:dyDescent="0.45">
      <c r="A2">
        <v>1</v>
      </c>
      <c r="B2">
        <v>1525</v>
      </c>
      <c r="C2" s="1">
        <f>B2</f>
        <v>1525</v>
      </c>
      <c r="D2">
        <f>ABS((B2-C2)/B2)</f>
        <v>0</v>
      </c>
      <c r="E2">
        <f t="shared" ref="E2:E3" si="0">(B2-C2)^2</f>
        <v>0</v>
      </c>
      <c r="F2">
        <f>AVERAGE(D:D)</f>
        <v>0.14110318117078424</v>
      </c>
      <c r="G2">
        <f>SUM(E:E)</f>
        <v>8335186.7990573626</v>
      </c>
      <c r="H2" s="2">
        <v>0.24100717282079684</v>
      </c>
      <c r="K2">
        <v>1</v>
      </c>
      <c r="L2">
        <v>1525</v>
      </c>
    </row>
    <row r="3" spans="1:12" x14ac:dyDescent="0.45">
      <c r="A3">
        <v>2</v>
      </c>
      <c r="B3">
        <v>1960</v>
      </c>
      <c r="C3" s="1">
        <f t="shared" ref="C3" si="1">C2+alpha*(B2-C2)</f>
        <v>1525</v>
      </c>
      <c r="D3">
        <f t="shared" ref="D3" si="2">ABS((B3-C3)/B3)</f>
        <v>0.22193877551020408</v>
      </c>
      <c r="E3">
        <f t="shared" si="0"/>
        <v>189225</v>
      </c>
      <c r="K3">
        <v>2</v>
      </c>
      <c r="L3">
        <v>1960</v>
      </c>
    </row>
    <row r="4" spans="1:12" x14ac:dyDescent="0.45">
      <c r="A4">
        <v>3</v>
      </c>
      <c r="B4">
        <v>2062</v>
      </c>
      <c r="C4" s="1">
        <f t="shared" ref="C4" si="3">C3+alpha*(B3-C3)</f>
        <v>1629.8381201770467</v>
      </c>
      <c r="D4">
        <f t="shared" ref="D4" si="4">ABS((B4-C4)/B4)</f>
        <v>0.20958384084527321</v>
      </c>
      <c r="E4">
        <f t="shared" ref="E4" si="5">(B4-C4)^2</f>
        <v>186763.89037210876</v>
      </c>
    </row>
    <row r="5" spans="1:12" x14ac:dyDescent="0.45">
      <c r="A5">
        <v>4</v>
      </c>
      <c r="B5">
        <v>2214</v>
      </c>
      <c r="C5" s="1">
        <f t="shared" ref="C5" si="6">C4+alpha*(B4-C4)</f>
        <v>1733.9922330340976</v>
      </c>
      <c r="D5">
        <f t="shared" ref="D5" si="7">ABS((B5-C5)/B5)</f>
        <v>0.21680567613636062</v>
      </c>
      <c r="E5">
        <f t="shared" ref="E5" si="8">(B5-C5)^2</f>
        <v>230407.45634759209</v>
      </c>
    </row>
    <row r="6" spans="1:12" x14ac:dyDescent="0.45">
      <c r="A6">
        <v>5</v>
      </c>
      <c r="B6">
        <v>1622</v>
      </c>
      <c r="C6" s="1">
        <f t="shared" ref="C6" si="9">C5+alpha*(B5-C5)</f>
        <v>1849.6775478825737</v>
      </c>
      <c r="D6">
        <f t="shared" ref="D6" si="10">ABS((B6-C6)/B6)</f>
        <v>0.14036840190047697</v>
      </c>
      <c r="E6">
        <f t="shared" ref="E6" si="11">(B6-C6)^2</f>
        <v>51837.065809821623</v>
      </c>
    </row>
    <row r="7" spans="1:12" x14ac:dyDescent="0.45">
      <c r="A7">
        <v>6</v>
      </c>
      <c r="B7">
        <v>1927</v>
      </c>
      <c r="C7" s="1">
        <f t="shared" ref="C7" si="12">C6+alpha*(B6-C6)</f>
        <v>1794.805625752623</v>
      </c>
      <c r="D7">
        <f t="shared" ref="D7" si="13">ABS((B7-C7)/B7)</f>
        <v>6.8601128306889997E-2</v>
      </c>
      <c r="E7">
        <f t="shared" ref="E7" si="14">(B7-C7)^2</f>
        <v>17475.352582655578</v>
      </c>
    </row>
    <row r="8" spans="1:12" x14ac:dyDescent="0.45">
      <c r="A8">
        <v>7</v>
      </c>
      <c r="B8">
        <v>1952</v>
      </c>
      <c r="C8" s="1">
        <f t="shared" ref="C8" si="15">C7+alpha*(B7-C7)</f>
        <v>1826.6654181527977</v>
      </c>
      <c r="D8">
        <f t="shared" ref="D8" si="16">ABS((B8-C8)/B8)</f>
        <v>6.42082898807389E-2</v>
      </c>
      <c r="E8">
        <f t="shared" ref="E8" si="17">(B8-C8)^2</f>
        <v>15708.757406813063</v>
      </c>
    </row>
    <row r="9" spans="1:12" x14ac:dyDescent="0.45">
      <c r="A9">
        <v>8</v>
      </c>
      <c r="B9">
        <v>2215</v>
      </c>
      <c r="C9" s="1">
        <f t="shared" ref="C9" si="18">C8+alpha*(B8-C8)</f>
        <v>1856.8719513804685</v>
      </c>
      <c r="D9">
        <f t="shared" ref="D9" si="19">ABS((B9-C9)/B9)</f>
        <v>0.1616830919275537</v>
      </c>
      <c r="E9">
        <f t="shared" ref="E9" si="20">(B9-C9)^2</f>
        <v>128255.69920803349</v>
      </c>
    </row>
    <row r="10" spans="1:12" x14ac:dyDescent="0.45">
      <c r="A10">
        <v>9</v>
      </c>
      <c r="B10">
        <v>2010</v>
      </c>
      <c r="C10" s="1">
        <f t="shared" ref="C10" si="21">C9+alpha*(B9-C9)</f>
        <v>1943.1833798860907</v>
      </c>
      <c r="D10">
        <f t="shared" ref="D10" si="22">ABS((B10-C10)/B10)</f>
        <v>3.3242099559158841E-2</v>
      </c>
      <c r="E10">
        <f t="shared" ref="E10" si="23">(B10-C10)^2</f>
        <v>4464.4607234464647</v>
      </c>
    </row>
    <row r="11" spans="1:12" x14ac:dyDescent="0.45">
      <c r="A11">
        <v>10</v>
      </c>
      <c r="B11">
        <v>2068</v>
      </c>
      <c r="C11" s="1">
        <f t="shared" ref="C11" si="24">C10+alpha*(B10-C10)</f>
        <v>1959.2866645971851</v>
      </c>
      <c r="D11">
        <f t="shared" ref="D11" si="25">ABS((B11-C11)/B11)</f>
        <v>5.2569311123218034E-2</v>
      </c>
      <c r="E11">
        <f t="shared" ref="E11" si="26">(B11-C11)^2</f>
        <v>11818.589294404926</v>
      </c>
    </row>
    <row r="12" spans="1:12" x14ac:dyDescent="0.45">
      <c r="A12">
        <v>11</v>
      </c>
      <c r="B12">
        <v>1866</v>
      </c>
      <c r="C12" s="1">
        <f t="shared" ref="C12" si="27">C11+alpha*(B11-C11)</f>
        <v>1985.4873582105365</v>
      </c>
      <c r="D12">
        <f t="shared" ref="D12" si="28">ABS((B12-C12)/B12)</f>
        <v>6.403395402493918E-2</v>
      </c>
      <c r="E12">
        <f t="shared" ref="E12" si="29">(B12-C12)^2</f>
        <v>14277.228772133067</v>
      </c>
    </row>
    <row r="13" spans="1:12" x14ac:dyDescent="0.45">
      <c r="A13">
        <v>12</v>
      </c>
      <c r="B13">
        <v>1445</v>
      </c>
      <c r="C13" s="1">
        <f t="shared" ref="C13" si="30">C12+alpha*(B12-C12)</f>
        <v>1956.6900478203893</v>
      </c>
      <c r="D13">
        <f t="shared" ref="D13" si="31">ABS((B13-C13)/B13)</f>
        <v>0.35411075973729361</v>
      </c>
      <c r="E13">
        <f t="shared" ref="E13" si="32">(B13-C13)^2</f>
        <v>261826.70503843226</v>
      </c>
    </row>
    <row r="14" spans="1:12" x14ac:dyDescent="0.45">
      <c r="A14">
        <v>13</v>
      </c>
      <c r="B14">
        <v>1724</v>
      </c>
      <c r="C14" s="1">
        <f t="shared" ref="C14" si="33">C13+alpha*(B13-C13)</f>
        <v>1833.369076034659</v>
      </c>
      <c r="D14">
        <f t="shared" ref="D14" si="34">ABS((B14-C14)/B14)</f>
        <v>6.3439139231240699E-2</v>
      </c>
      <c r="E14">
        <f t="shared" ref="E14" si="35">(B14-C14)^2</f>
        <v>11961.594792675016</v>
      </c>
    </row>
    <row r="15" spans="1:12" x14ac:dyDescent="0.45">
      <c r="A15">
        <v>14</v>
      </c>
      <c r="B15">
        <v>2421</v>
      </c>
      <c r="C15" s="1">
        <f t="shared" ref="C15" si="36">C14+alpha*(B14-C14)</f>
        <v>1807.0103442255231</v>
      </c>
      <c r="D15">
        <f t="shared" ref="D15" si="37">ABS((B15-C15)/B15)</f>
        <v>0.25360993629676865</v>
      </c>
      <c r="E15">
        <f t="shared" ref="E15" si="38">(B15-C15)^2</f>
        <v>376983.29739806062</v>
      </c>
    </row>
    <row r="16" spans="1:12" x14ac:dyDescent="0.45">
      <c r="A16">
        <v>15</v>
      </c>
      <c r="B16">
        <v>1797</v>
      </c>
      <c r="C16" s="1">
        <f t="shared" ref="C16" si="39">C15+alpha*(B15-C15)</f>
        <v>1954.9862553049441</v>
      </c>
      <c r="D16">
        <f t="shared" ref="D16" si="40">ABS((B16-C16)/B16)</f>
        <v>8.791666961877799E-2</v>
      </c>
      <c r="E16">
        <f t="shared" ref="E16" si="41">(B16-C16)^2</f>
        <v>24959.656865278961</v>
      </c>
    </row>
    <row r="17" spans="1:5" x14ac:dyDescent="0.45">
      <c r="A17">
        <v>16</v>
      </c>
      <c r="B17">
        <v>2289</v>
      </c>
      <c r="C17" s="1">
        <f t="shared" ref="C17" si="42">C16+alpha*(B16-C16)</f>
        <v>1916.9104345693549</v>
      </c>
      <c r="D17">
        <f t="shared" ref="D17" si="43">ABS((B17-C17)/B17)</f>
        <v>0.16255551132837268</v>
      </c>
      <c r="E17">
        <f t="shared" ref="E17" si="44">(B17-C17)^2</f>
        <v>138450.64470236629</v>
      </c>
    </row>
    <row r="18" spans="1:5" x14ac:dyDescent="0.45">
      <c r="A18">
        <v>17</v>
      </c>
      <c r="B18">
        <v>2072</v>
      </c>
      <c r="C18" s="1">
        <f t="shared" ref="C18" si="45">C17+alpha*(B17-C17)</f>
        <v>2006.5866887699135</v>
      </c>
      <c r="D18">
        <f t="shared" ref="D18" si="46">ABS((B18-C18)/B18)</f>
        <v>3.1570130902551397E-2</v>
      </c>
      <c r="E18">
        <f t="shared" ref="E18" si="47">(B18-C18)^2</f>
        <v>4278.9012860841594</v>
      </c>
    </row>
    <row r="19" spans="1:5" x14ac:dyDescent="0.45">
      <c r="A19">
        <v>18</v>
      </c>
      <c r="B19">
        <v>2653</v>
      </c>
      <c r="C19" s="1">
        <f t="shared" ref="C19" si="48">C18+alpha*(B18-C18)</f>
        <v>2022.3517659743236</v>
      </c>
      <c r="D19">
        <f t="shared" ref="D19" si="49">ABS((B19-C19)/B19)</f>
        <v>0.23771135847179661</v>
      </c>
      <c r="E19">
        <f t="shared" ref="E19" si="50">(B19-C19)^2</f>
        <v>397717.19507970434</v>
      </c>
    </row>
    <row r="20" spans="1:5" x14ac:dyDescent="0.45">
      <c r="A20">
        <v>19</v>
      </c>
      <c r="B20">
        <v>2558</v>
      </c>
      <c r="C20" s="1">
        <f t="shared" ref="C20" si="51">C19+alpha*(B19-C19)</f>
        <v>2174.3425139012802</v>
      </c>
      <c r="D20">
        <f t="shared" ref="D20" si="52">ABS((B20-C20)/B20)</f>
        <v>0.14998338002295536</v>
      </c>
      <c r="E20">
        <f t="shared" ref="E20" si="53">(B20-C20)^2</f>
        <v>147193.06663958938</v>
      </c>
    </row>
    <row r="21" spans="1:5" x14ac:dyDescent="0.45">
      <c r="A21">
        <v>20</v>
      </c>
      <c r="B21">
        <v>1713</v>
      </c>
      <c r="C21" s="1">
        <f t="shared" ref="C21" si="54">C20+alpha*(B20-C20)</f>
        <v>2266.8067199574666</v>
      </c>
      <c r="D21">
        <f t="shared" ref="D21" si="55">ABS((B21-C21)/B21)</f>
        <v>0.32329639226939089</v>
      </c>
      <c r="E21">
        <f t="shared" ref="E21" si="56">(B21-C21)^2</f>
        <v>306701.88307004783</v>
      </c>
    </row>
    <row r="22" spans="1:5" x14ac:dyDescent="0.45">
      <c r="A22">
        <v>21</v>
      </c>
      <c r="B22">
        <v>2207</v>
      </c>
      <c r="C22" s="1">
        <f t="shared" ref="C22" si="57">C21+alpha*(B21-C21)</f>
        <v>2133.3353280913589</v>
      </c>
      <c r="D22">
        <f t="shared" ref="D22" si="58">ABS((B22-C22)/B22)</f>
        <v>3.3377739877046279E-2</v>
      </c>
      <c r="E22">
        <f t="shared" ref="E22" si="59">(B22-C22)^2</f>
        <v>5426.4838874077432</v>
      </c>
    </row>
    <row r="23" spans="1:5" x14ac:dyDescent="0.45">
      <c r="A23">
        <v>22</v>
      </c>
      <c r="B23">
        <v>2141</v>
      </c>
      <c r="C23" s="1">
        <f t="shared" ref="C23" si="60">C22+alpha*(B22-C22)</f>
        <v>2151.0890424048321</v>
      </c>
      <c r="D23">
        <f t="shared" ref="D23" si="61">ABS((B23-C23)/B23)</f>
        <v>4.7123037855357642E-3</v>
      </c>
      <c r="E23">
        <f t="shared" ref="E23" si="62">(B23-C23)^2</f>
        <v>101.7887766464997</v>
      </c>
    </row>
    <row r="24" spans="1:5" x14ac:dyDescent="0.45">
      <c r="A24">
        <v>23</v>
      </c>
      <c r="B24">
        <v>2546</v>
      </c>
      <c r="C24" s="1">
        <f t="shared" ref="C24" si="63">C23+alpha*(B23-C23)</f>
        <v>2148.6575108183742</v>
      </c>
      <c r="D24">
        <f t="shared" ref="D24" si="64">ABS((B24-C24)/B24)</f>
        <v>0.15606539245154194</v>
      </c>
      <c r="E24">
        <f t="shared" ref="E24" si="65">(B24-C24)^2</f>
        <v>157881.05370905038</v>
      </c>
    </row>
    <row r="25" spans="1:5" x14ac:dyDescent="0.45">
      <c r="A25">
        <v>24</v>
      </c>
      <c r="B25">
        <v>2322</v>
      </c>
      <c r="C25" s="1">
        <f t="shared" ref="C25" si="66">C24+alpha*(B24-C24)</f>
        <v>2244.419900777616</v>
      </c>
      <c r="D25">
        <f t="shared" ref="D25" si="67">ABS((B25-C25)/B25)</f>
        <v>3.341089544460981E-2</v>
      </c>
      <c r="E25">
        <f t="shared" ref="E25" si="68">(B25-C25)^2</f>
        <v>6018.6717953549432</v>
      </c>
    </row>
    <row r="26" spans="1:5" x14ac:dyDescent="0.45">
      <c r="A26">
        <v>25</v>
      </c>
      <c r="B26">
        <v>2296</v>
      </c>
      <c r="C26" s="1">
        <f t="shared" ref="C26" si="69">C25+alpha*(B25-C25)</f>
        <v>2263.1172611583597</v>
      </c>
      <c r="D26">
        <f t="shared" ref="D26" si="70">ABS((B26-C26)/B26)</f>
        <v>1.4321750366568064E-2</v>
      </c>
      <c r="E26">
        <f t="shared" ref="E26" si="71">(B26-C26)^2</f>
        <v>1081.2745137275181</v>
      </c>
    </row>
    <row r="27" spans="1:5" x14ac:dyDescent="0.45">
      <c r="A27">
        <v>26</v>
      </c>
      <c r="B27">
        <v>2633</v>
      </c>
      <c r="C27" s="1">
        <f t="shared" ref="C27" si="72">C26+alpha*(B26-C26)</f>
        <v>2271.042237081188</v>
      </c>
      <c r="D27">
        <f t="shared" ref="D27" si="73">ABS((B27-C27)/B27)</f>
        <v>0.1374697162623669</v>
      </c>
      <c r="E27">
        <f t="shared" ref="E27" si="74">(B27-C27)^2</f>
        <v>131013.42213719094</v>
      </c>
    </row>
    <row r="28" spans="1:5" x14ac:dyDescent="0.45">
      <c r="A28">
        <v>27</v>
      </c>
      <c r="B28">
        <v>2574</v>
      </c>
      <c r="C28" s="1">
        <f t="shared" ref="C28" si="75">C27+alpha*(B27-C27)</f>
        <v>2358.2766542027912</v>
      </c>
      <c r="D28">
        <f t="shared" ref="D28" si="76">ABS((B28-C28)/B28)</f>
        <v>8.3808603650819283E-2</v>
      </c>
      <c r="E28">
        <f t="shared" ref="E28" si="77">(B28-C28)^2</f>
        <v>46536.561921942135</v>
      </c>
    </row>
    <row r="29" spans="1:5" x14ac:dyDescent="0.45">
      <c r="A29">
        <v>28</v>
      </c>
      <c r="B29">
        <v>2646</v>
      </c>
      <c r="C29" s="1">
        <f t="shared" ref="C29" si="78">C28+alpha*(B28-C28)</f>
        <v>2410.2675278848196</v>
      </c>
      <c r="D29">
        <f t="shared" ref="D29" si="79">ABS((B29-C29)/B29)</f>
        <v>8.9090125515941185E-2</v>
      </c>
      <c r="E29">
        <f t="shared" ref="E29" si="80">(B29-C29)^2</f>
        <v>55569.798409534291</v>
      </c>
    </row>
    <row r="30" spans="1:5" x14ac:dyDescent="0.45">
      <c r="A30">
        <v>29</v>
      </c>
      <c r="B30">
        <v>2015</v>
      </c>
      <c r="C30" s="1">
        <f t="shared" ref="C30" si="81">C29+alpha*(B29-C29)</f>
        <v>2467.0807445313567</v>
      </c>
      <c r="D30">
        <f t="shared" ref="D30" si="82">ABS((B30-C30)/B30)</f>
        <v>0.2243576895937254</v>
      </c>
      <c r="E30">
        <f t="shared" ref="E30" si="83">(B30-C30)^2</f>
        <v>204376.99957602579</v>
      </c>
    </row>
    <row r="31" spans="1:5" x14ac:dyDescent="0.45">
      <c r="A31">
        <v>30</v>
      </c>
      <c r="B31">
        <v>1998</v>
      </c>
      <c r="C31" s="1">
        <f t="shared" ref="C31" si="84">C30+alpha*(B30-C30)</f>
        <v>2358.1260424051334</v>
      </c>
      <c r="D31">
        <f t="shared" ref="D31" si="85">ABS((B31-C31)/B31)</f>
        <v>0.18024326446703373</v>
      </c>
      <c r="E31">
        <f t="shared" ref="E31" si="86">(B31-C31)^2</f>
        <v>129690.76641838392</v>
      </c>
    </row>
    <row r="32" spans="1:5" x14ac:dyDescent="0.45">
      <c r="A32">
        <v>31</v>
      </c>
      <c r="B32">
        <v>2976</v>
      </c>
      <c r="C32" s="1">
        <f t="shared" ref="C32" si="87">C31+alpha*(B31-C31)</f>
        <v>2271.3330830659297</v>
      </c>
      <c r="D32">
        <f t="shared" ref="D32" si="88">ABS((B32-C32)/B32)</f>
        <v>0.23678323821709352</v>
      </c>
      <c r="E32">
        <f t="shared" ref="E32" si="89">(B32-C32)^2</f>
        <v>496555.46382136788</v>
      </c>
    </row>
    <row r="33" spans="1:5" x14ac:dyDescent="0.45">
      <c r="A33">
        <v>32</v>
      </c>
      <c r="B33">
        <v>1867</v>
      </c>
      <c r="C33" s="1">
        <f t="shared" ref="C33" si="90">C32+alpha*(B32-C32)</f>
        <v>2441.1628644965572</v>
      </c>
      <c r="D33">
        <f t="shared" ref="D33" si="91">ABS((B33-C33)/B33)</f>
        <v>0.30753233234952176</v>
      </c>
      <c r="E33">
        <f t="shared" ref="E33" si="92">(B33-C33)^2</f>
        <v>329662.99496689189</v>
      </c>
    </row>
    <row r="34" spans="1:5" x14ac:dyDescent="0.45">
      <c r="A34">
        <v>33</v>
      </c>
      <c r="B34">
        <v>1846</v>
      </c>
      <c r="C34" s="1">
        <f t="shared" ref="C34" si="93">C33+alpha*(B33-C33)</f>
        <v>2302.7854957855516</v>
      </c>
      <c r="D34">
        <f t="shared" ref="D34" si="94">ABS((B34-C34)/B34)</f>
        <v>0.24744609739195644</v>
      </c>
      <c r="E34">
        <f t="shared" ref="E34" si="95">(B34-C34)^2</f>
        <v>208652.98916005215</v>
      </c>
    </row>
    <row r="35" spans="1:5" x14ac:dyDescent="0.45">
      <c r="A35">
        <v>34</v>
      </c>
      <c r="B35">
        <v>2765</v>
      </c>
      <c r="C35" s="1">
        <f t="shared" ref="C35" si="96">C34+alpha*(B34-C34)</f>
        <v>2192.69691486073</v>
      </c>
      <c r="D35">
        <f t="shared" ref="D35" si="97">ABS((B35-C35)/B35)</f>
        <v>0.20698122428183363</v>
      </c>
      <c r="E35">
        <f t="shared" ref="E35" si="98">(B35-C35)^2</f>
        <v>327530.82125992654</v>
      </c>
    </row>
    <row r="36" spans="1:5" x14ac:dyDescent="0.45">
      <c r="A36">
        <v>35</v>
      </c>
      <c r="B36">
        <v>2088</v>
      </c>
      <c r="C36" s="1">
        <f t="shared" ref="C36" si="99">C35+alpha*(B35-C35)</f>
        <v>2330.6260634067653</v>
      </c>
      <c r="D36">
        <f t="shared" ref="D36" si="100">ABS((B36-C36)/B36)</f>
        <v>0.11620022193810599</v>
      </c>
      <c r="E36">
        <f t="shared" ref="E36" si="101">(B36-C36)^2</f>
        <v>58867.406644263698</v>
      </c>
    </row>
    <row r="37" spans="1:5" x14ac:dyDescent="0.45">
      <c r="A37">
        <v>36</v>
      </c>
      <c r="B37">
        <v>2554</v>
      </c>
      <c r="C37" s="1">
        <f t="shared" ref="C37" si="102">C36+alpha*(B36-C36)</f>
        <v>2272.1514418124616</v>
      </c>
      <c r="D37">
        <f t="shared" ref="D37" si="103">ABS((B37-C37)/B37)</f>
        <v>0.11035573930600563</v>
      </c>
      <c r="E37">
        <f t="shared" ref="E37" si="104">(B37-C37)^2</f>
        <v>79438.609752394215</v>
      </c>
    </row>
    <row r="38" spans="1:5" x14ac:dyDescent="0.45">
      <c r="A38">
        <v>37</v>
      </c>
      <c r="B38">
        <v>1980</v>
      </c>
      <c r="C38" s="1">
        <f t="shared" ref="C38" si="105">C37+alpha*(B37-C37)</f>
        <v>2340.0789659848579</v>
      </c>
      <c r="D38">
        <f t="shared" ref="D38" si="106">ABS((B38-C38)/B38)</f>
        <v>0.18185806362871609</v>
      </c>
      <c r="E38">
        <f t="shared" ref="E38" si="107">(B38-C38)^2</f>
        <v>129656.86174472442</v>
      </c>
    </row>
    <row r="39" spans="1:5" x14ac:dyDescent="0.45">
      <c r="A39">
        <v>38</v>
      </c>
      <c r="B39">
        <v>2843</v>
      </c>
      <c r="C39" s="1">
        <f t="shared" ref="C39" si="108">C38+alpha*(B38-C38)</f>
        <v>2253.2973524006115</v>
      </c>
      <c r="D39">
        <f t="shared" ref="D39" si="109">ABS((B39-C39)/B39)</f>
        <v>0.20742266887069591</v>
      </c>
      <c r="E39">
        <f t="shared" ref="E39" si="110">(B39-C39)^2</f>
        <v>347749.2125857285</v>
      </c>
    </row>
    <row r="40" spans="1:5" x14ac:dyDescent="0.45">
      <c r="A40">
        <v>39</v>
      </c>
      <c r="B40">
        <v>2328</v>
      </c>
      <c r="C40" s="1">
        <f t="shared" ref="C40" si="111">C39+alpha*(B39-C39)</f>
        <v>2395.4199203034786</v>
      </c>
      <c r="D40">
        <f t="shared" ref="D40" si="112">ABS((B40-C40)/B40)</f>
        <v>2.8960446865755433E-2</v>
      </c>
      <c r="E40">
        <f t="shared" ref="E40" si="113">(B40-C40)^2</f>
        <v>4545.4456537274127</v>
      </c>
    </row>
    <row r="41" spans="1:5" x14ac:dyDescent="0.45">
      <c r="A41">
        <v>40</v>
      </c>
      <c r="B41">
        <v>2404</v>
      </c>
      <c r="C41" s="1">
        <f t="shared" ref="C41" si="114">C40+alpha*(B40-C40)</f>
        <v>2379.1712359193339</v>
      </c>
      <c r="D41">
        <f t="shared" ref="D41" si="115">ABS((B41-C41)/B41)</f>
        <v>1.0328104858846145E-2</v>
      </c>
      <c r="E41">
        <f t="shared" ref="E41" si="116">(B41-C41)^2</f>
        <v>616.46752577337679</v>
      </c>
    </row>
    <row r="42" spans="1:5" x14ac:dyDescent="0.45">
      <c r="A42">
        <v>41</v>
      </c>
      <c r="B42">
        <v>1614</v>
      </c>
      <c r="C42" s="1">
        <f t="shared" ref="C42" si="117">C41+alpha*(B41-C41)</f>
        <v>2385.1551461550498</v>
      </c>
      <c r="D42">
        <f t="shared" ref="D42" si="118">ABS((B42-C42)/B42)</f>
        <v>0.47779129253720559</v>
      </c>
      <c r="E42">
        <f t="shared" ref="E42" si="119">(B42-C42)^2</f>
        <v>594680.25944141624</v>
      </c>
    </row>
    <row r="43" spans="1:5" x14ac:dyDescent="0.45">
      <c r="A43">
        <v>42</v>
      </c>
      <c r="B43">
        <v>1851</v>
      </c>
      <c r="C43" s="1">
        <f t="shared" ref="C43" si="120">C42+alpha*(B42-C42)</f>
        <v>2199.3012245740128</v>
      </c>
      <c r="D43">
        <f t="shared" ref="D43" si="121">ABS((B43-C43)/B43)</f>
        <v>0.18816921911075787</v>
      </c>
      <c r="E43">
        <f t="shared" ref="E43" si="122">(B43-C43)^2</f>
        <v>121313.74303975693</v>
      </c>
    </row>
    <row r="44" spans="1:5" x14ac:dyDescent="0.45">
      <c r="A44">
        <v>43</v>
      </c>
      <c r="B44">
        <v>1648</v>
      </c>
      <c r="C44" s="1">
        <f t="shared" ref="C44" si="123">C43+alpha*(B43-C43)</f>
        <v>2115.3581311494086</v>
      </c>
      <c r="D44">
        <f t="shared" ref="D44" si="124">ABS((B44-C44)/B44)</f>
        <v>0.28359109899842755</v>
      </c>
      <c r="E44">
        <f t="shared" ref="E44" si="125">(B44-C44)^2</f>
        <v>218423.62275146777</v>
      </c>
    </row>
    <row r="45" spans="1:5" x14ac:dyDescent="0.45">
      <c r="A45">
        <v>44</v>
      </c>
      <c r="B45">
        <v>1637</v>
      </c>
      <c r="C45" s="1">
        <f t="shared" ref="C45" si="126">C44+alpha*(B44-C44)</f>
        <v>2002.7214692662785</v>
      </c>
      <c r="D45">
        <f t="shared" ref="D45" si="127">ABS((B45-C45)/B45)</f>
        <v>0.22340957194030453</v>
      </c>
      <c r="E45">
        <f t="shared" ref="E45" si="128">(B45-C45)^2</f>
        <v>133752.19308228549</v>
      </c>
    </row>
    <row r="46" spans="1:5" x14ac:dyDescent="0.45">
      <c r="A46">
        <v>45</v>
      </c>
      <c r="B46">
        <v>2211</v>
      </c>
      <c r="C46" s="1">
        <f t="shared" ref="C46" si="129">C45+alpha*(B45-C45)</f>
        <v>1914.5799719185447</v>
      </c>
      <c r="D46">
        <f t="shared" ref="D46" si="130">ABS((B46-C46)/B46)</f>
        <v>0.13406604616981241</v>
      </c>
      <c r="E46">
        <f t="shared" ref="E46" si="131">(B46-C46)^2</f>
        <v>87864.833047810724</v>
      </c>
    </row>
    <row r="47" spans="1:5" x14ac:dyDescent="0.45">
      <c r="A47">
        <v>46</v>
      </c>
      <c r="B47">
        <v>1754</v>
      </c>
      <c r="C47" s="1">
        <f t="shared" ref="C47" si="132">C46+alpha*(B46-C46)</f>
        <v>1986.0193248539174</v>
      </c>
      <c r="D47">
        <f t="shared" ref="D47" si="133">ABS((B47-C47)/B47)</f>
        <v>0.13228011679242724</v>
      </c>
      <c r="E47">
        <f t="shared" ref="E47" si="134">(B47-C47)^2</f>
        <v>53832.967105667653</v>
      </c>
    </row>
    <row r="48" spans="1:5" x14ac:dyDescent="0.45">
      <c r="A48">
        <v>47</v>
      </c>
      <c r="B48">
        <v>1600</v>
      </c>
      <c r="C48" s="1">
        <f t="shared" ref="C48" si="135">C47+alpha*(B47-C47)</f>
        <v>1930.1010033310847</v>
      </c>
      <c r="D48">
        <f t="shared" ref="D48" si="136">ABS((B48-C48)/B48)</f>
        <v>0.20631312708192795</v>
      </c>
      <c r="E48">
        <f t="shared" ref="E48" si="137">(B48-C48)^2</f>
        <v>108966.67240018881</v>
      </c>
    </row>
    <row r="49" spans="1:5" x14ac:dyDescent="0.45">
      <c r="A49">
        <v>48</v>
      </c>
      <c r="B49">
        <v>2002</v>
      </c>
      <c r="C49" s="1">
        <f t="shared" ref="C49" si="138">C48+alpha*(B48-C48)</f>
        <v>1850.5442937729515</v>
      </c>
      <c r="D49">
        <f t="shared" ref="D49" si="139">ABS((B49-C49)/B49)</f>
        <v>7.5652200912611642E-2</v>
      </c>
      <c r="E49">
        <f t="shared" ref="E49" si="140">(B49-C49)^2</f>
        <v>22938.830948734016</v>
      </c>
    </row>
    <row r="50" spans="1:5" x14ac:dyDescent="0.45">
      <c r="A50">
        <v>49</v>
      </c>
      <c r="B50">
        <v>1813</v>
      </c>
      <c r="C50" s="1">
        <f t="shared" ref="C50" si="141">C49+alpha*(B49-C49)</f>
        <v>1887.0462053383096</v>
      </c>
      <c r="D50">
        <f t="shared" ref="D50" si="142">ABS((B50-C50)/B50)</f>
        <v>4.084181210055688E-2</v>
      </c>
      <c r="E50">
        <f t="shared" ref="E50" si="143">(B50-C50)^2</f>
        <v>5482.8405250031119</v>
      </c>
    </row>
    <row r="51" spans="1:5" x14ac:dyDescent="0.45">
      <c r="A51">
        <v>50</v>
      </c>
      <c r="B51">
        <v>2025</v>
      </c>
      <c r="C51" s="1">
        <f t="shared" ref="C51" si="144">C50+alpha*(B50-C50)</f>
        <v>1869.2005387316153</v>
      </c>
      <c r="D51">
        <f t="shared" ref="D51" si="145">ABS((B51-C51)/B51)</f>
        <v>7.6938005564634412E-2</v>
      </c>
      <c r="E51">
        <f t="shared" ref="E51" si="146">(B51-C51)^2</f>
        <v>24273.472131518898</v>
      </c>
    </row>
    <row r="52" spans="1:5" x14ac:dyDescent="0.45">
      <c r="A52">
        <v>51</v>
      </c>
      <c r="B52">
        <v>1508</v>
      </c>
      <c r="C52" s="1">
        <f t="shared" ref="C52" si="147">C51+alpha*(B51-C51)</f>
        <v>1906.749326418912</v>
      </c>
      <c r="D52">
        <f t="shared" ref="D52" si="148">ABS((B52-C52)/B52)</f>
        <v>0.26442263025126789</v>
      </c>
      <c r="E52">
        <f t="shared" ref="E52" si="149">(B52-C52)^2</f>
        <v>159001.02531953604</v>
      </c>
    </row>
    <row r="53" spans="1:5" x14ac:dyDescent="0.45">
      <c r="A53">
        <v>52</v>
      </c>
      <c r="B53">
        <v>1694</v>
      </c>
      <c r="C53" s="1">
        <f t="shared" ref="C53" si="150">C52+alpha*(B52-C52)</f>
        <v>1810.647878594493</v>
      </c>
      <c r="D53">
        <f t="shared" ref="D53" si="151">ABS((B53-C53)/B53)</f>
        <v>6.8859432464281597E-2</v>
      </c>
      <c r="E53">
        <f t="shared" ref="E53" si="152">(B53-C53)^2</f>
        <v>13606.727580595583</v>
      </c>
    </row>
    <row r="54" spans="1:5" x14ac:dyDescent="0.45">
      <c r="A54">
        <v>53</v>
      </c>
      <c r="B54">
        <v>2007</v>
      </c>
      <c r="C54" s="1">
        <f t="shared" ref="C54" si="153">C53+alpha*(B53-C53)</f>
        <v>1782.5349031588908</v>
      </c>
      <c r="D54">
        <f t="shared" ref="D54" si="154">ABS((B54-C54)/B54)</f>
        <v>0.11184110455461348</v>
      </c>
      <c r="E54">
        <f t="shared" ref="E54" si="155">(B54-C54)^2</f>
        <v>50384.579699888549</v>
      </c>
    </row>
    <row r="55" spans="1:5" x14ac:dyDescent="0.45">
      <c r="A55">
        <v>54</v>
      </c>
      <c r="B55">
        <v>1643</v>
      </c>
      <c r="C55" s="1">
        <f t="shared" ref="C55" si="156">C54+alpha*(B54-C54)</f>
        <v>1836.6326015455129</v>
      </c>
      <c r="D55">
        <f t="shared" ref="D55" si="157">ABS((B55-C55)/B55)</f>
        <v>0.11785307458643511</v>
      </c>
      <c r="E55">
        <f t="shared" ref="E55" si="158">(B55-C55)^2</f>
        <v>37493.584381283363</v>
      </c>
    </row>
    <row r="56" spans="1:5" x14ac:dyDescent="0.45">
      <c r="A56">
        <v>55</v>
      </c>
      <c r="B56">
        <v>1917</v>
      </c>
      <c r="C56" s="1">
        <f t="shared" ref="C56" si="159">C55+alpha*(B55-C55)</f>
        <v>1789.965755681093</v>
      </c>
      <c r="D56">
        <f t="shared" ref="D56" si="160">ABS((B56-C56)/B56)</f>
        <v>6.6267211433962955E-2</v>
      </c>
      <c r="E56">
        <f t="shared" ref="E56" si="161">(B56-C56)^2</f>
        <v>16137.699229675753</v>
      </c>
    </row>
    <row r="57" spans="1:5" x14ac:dyDescent="0.45">
      <c r="A57">
        <v>56</v>
      </c>
      <c r="B57">
        <v>1722</v>
      </c>
      <c r="C57" s="1">
        <f t="shared" ref="C57" si="162">C56+alpha*(B56-C56)</f>
        <v>1820.5819197558192</v>
      </c>
      <c r="D57">
        <f t="shared" ref="D57" si="163">ABS((B57-C57)/B57)</f>
        <v>5.7248501600359568E-2</v>
      </c>
      <c r="E57">
        <f t="shared" ref="E57" si="164">(B57-C57)^2</f>
        <v>9718.3949027427698</v>
      </c>
    </row>
    <row r="58" spans="1:5" x14ac:dyDescent="0.45">
      <c r="A58">
        <v>57</v>
      </c>
      <c r="B58">
        <v>1440</v>
      </c>
      <c r="C58" s="1">
        <f t="shared" ref="C58" si="165">C57+alpha*(B57-C57)</f>
        <v>1796.8229699842225</v>
      </c>
      <c r="D58">
        <f t="shared" ref="D58" si="166">ABS((B58-C58)/B58)</f>
        <v>0.24779372915571005</v>
      </c>
      <c r="E58">
        <f t="shared" ref="E58" si="167">(B58-C58)^2</f>
        <v>127322.63190836133</v>
      </c>
    </row>
    <row r="59" spans="1:5" x14ac:dyDescent="0.45">
      <c r="A59">
        <v>58</v>
      </c>
      <c r="B59">
        <v>1776</v>
      </c>
      <c r="C59" s="1">
        <f t="shared" ref="C59" si="168">C58+alpha*(B58-C58)</f>
        <v>1710.826074790805</v>
      </c>
      <c r="D59">
        <f t="shared" ref="D59" si="169">ABS((B59-C59)/B59)</f>
        <v>3.6697029960132306E-2</v>
      </c>
      <c r="E59">
        <f t="shared" ref="E59" si="170">(B59-C59)^2</f>
        <v>4247.6405271737403</v>
      </c>
    </row>
    <row r="60" spans="1:5" x14ac:dyDescent="0.45">
      <c r="A60">
        <v>59</v>
      </c>
      <c r="B60">
        <v>2243</v>
      </c>
      <c r="C60" s="1">
        <f t="shared" ref="C60" si="171">C59+alpha*(B59-C59)</f>
        <v>1726.5334582471071</v>
      </c>
      <c r="D60">
        <f t="shared" ref="D60" si="172">ABS((B60-C60)/B60)</f>
        <v>0.23025704046049617</v>
      </c>
      <c r="E60">
        <f t="shared" ref="E60" si="173">(B60-C60)^2</f>
        <v>266737.6887501927</v>
      </c>
    </row>
    <row r="61" spans="1:5" x14ac:dyDescent="0.45">
      <c r="A61">
        <v>60</v>
      </c>
      <c r="B61">
        <v>1639</v>
      </c>
      <c r="C61" s="1">
        <f t="shared" ref="C61" si="174">C60+alpha*(B60-C60)</f>
        <v>1851.0055993315059</v>
      </c>
      <c r="D61">
        <f t="shared" ref="D61" si="175">ABS((B61-C61)/B61)</f>
        <v>0.12935057921385351</v>
      </c>
      <c r="E61">
        <f t="shared" ref="E61" si="176">(B61-C61)^2</f>
        <v>44946.37414791101</v>
      </c>
    </row>
    <row r="62" spans="1:5" x14ac:dyDescent="0.45">
      <c r="A62">
        <v>61</v>
      </c>
      <c r="B62">
        <v>1717</v>
      </c>
      <c r="C62" s="1">
        <f t="shared" ref="C62" si="177">C61+alpha*(B61-C61)</f>
        <v>1799.9107292144411</v>
      </c>
      <c r="D62">
        <f t="shared" ref="D62" si="178">ABS((B62-C62)/B62)</f>
        <v>4.8288135826698345E-2</v>
      </c>
      <c r="E62">
        <f t="shared" ref="E62" si="179">(B62-C62)^2</f>
        <v>6874.189018870371</v>
      </c>
    </row>
    <row r="63" spans="1:5" x14ac:dyDescent="0.45">
      <c r="A63">
        <v>62</v>
      </c>
      <c r="B63">
        <v>2664</v>
      </c>
      <c r="C63" s="1">
        <f t="shared" ref="C63" si="180">C62+alpha*(B62-C62)</f>
        <v>1779.928648769958</v>
      </c>
      <c r="D63">
        <f t="shared" ref="D63" si="181">ABS((B63-C63)/B63)</f>
        <v>0.33185861532659233</v>
      </c>
      <c r="E63">
        <f t="shared" ref="E63" si="182">(B63-C63)^2</f>
        <v>781582.15406571224</v>
      </c>
    </row>
    <row r="64" spans="1:5" x14ac:dyDescent="0.45">
      <c r="A64">
        <v>63</v>
      </c>
      <c r="B64">
        <v>2064</v>
      </c>
      <c r="C64" s="1">
        <f t="shared" ref="C64" si="183">C63+alpha*(B63-C63)</f>
        <v>1992.9961857017722</v>
      </c>
      <c r="D64">
        <f t="shared" ref="D64" si="184">ABS((B64-C64)/B64)</f>
        <v>3.4401072818908807E-2</v>
      </c>
      <c r="E64">
        <f t="shared" ref="E64" si="185">(B64-C64)^2</f>
        <v>5041.5416448972155</v>
      </c>
    </row>
    <row r="65" spans="1:5" x14ac:dyDescent="0.45">
      <c r="A65">
        <v>64</v>
      </c>
      <c r="B65">
        <v>1993</v>
      </c>
      <c r="C65" s="1">
        <f t="shared" ref="C65" si="186">C64+alpha*(B64-C64)</f>
        <v>2010.1086142452809</v>
      </c>
      <c r="D65">
        <f t="shared" ref="D65" si="187">ABS((B65-C65)/B65)</f>
        <v>8.5843523558860671E-3</v>
      </c>
      <c r="E65">
        <f t="shared" ref="E65" si="188">(B65-C65)^2</f>
        <v>292.70468139382967</v>
      </c>
    </row>
    <row r="66" spans="1:5" x14ac:dyDescent="0.45">
      <c r="A66">
        <v>65</v>
      </c>
      <c r="B66">
        <v>1870</v>
      </c>
      <c r="C66" s="1">
        <f t="shared" ref="C66" si="189">C65+alpha*(B65-C65)</f>
        <v>2005.9853154951443</v>
      </c>
      <c r="D66">
        <f t="shared" ref="D66" si="190">ABS((B66-C66)/B66)</f>
        <v>7.2719420050879294E-2</v>
      </c>
      <c r="E66">
        <f t="shared" ref="E66" si="191">(B66-C66)^2</f>
        <v>18492.006030313925</v>
      </c>
    </row>
    <row r="67" spans="1:5" x14ac:dyDescent="0.45">
      <c r="A67">
        <v>66</v>
      </c>
      <c r="B67">
        <v>2328</v>
      </c>
      <c r="C67" s="1">
        <f t="shared" ref="C67" si="192">C66+alpha*(B66-C66)</f>
        <v>1973.2118790625154</v>
      </c>
      <c r="D67">
        <f t="shared" ref="D67" si="193">ABS((B67-C67)/B67)</f>
        <v>0.15240039559170299</v>
      </c>
      <c r="E67">
        <f t="shared" ref="E67" si="194">(B67-C67)^2</f>
        <v>125874.61075835118</v>
      </c>
    </row>
    <row r="68" spans="1:5" x14ac:dyDescent="0.45">
      <c r="A68">
        <v>67</v>
      </c>
      <c r="B68">
        <v>1825</v>
      </c>
      <c r="C68" s="1">
        <f t="shared" ref="C68:C69" si="195">C67+alpha*(B67-C67)</f>
        <v>2058.7183610400616</v>
      </c>
      <c r="D68">
        <f t="shared" ref="D68" si="196">ABS((B68-C68)/B68)</f>
        <v>0.12806485536441731</v>
      </c>
      <c r="E68">
        <f t="shared" ref="E68" si="197">(B68-C68)^2</f>
        <v>54624.272287252585</v>
      </c>
    </row>
    <row r="69" spans="1:5" x14ac:dyDescent="0.45">
      <c r="A69">
        <v>68</v>
      </c>
      <c r="B69">
        <v>2660</v>
      </c>
      <c r="C69" s="1">
        <f t="shared" si="195"/>
        <v>2002.390559609486</v>
      </c>
    </row>
    <row r="70" spans="1:5" x14ac:dyDescent="0.45">
      <c r="A70">
        <v>69</v>
      </c>
      <c r="B70">
        <v>2956</v>
      </c>
      <c r="C70" s="1">
        <f t="shared" ref="C70" si="198">C69+alpha*(B69-C69)</f>
        <v>2160.8791516582701</v>
      </c>
    </row>
    <row r="71" spans="1:5" x14ac:dyDescent="0.45">
      <c r="A71">
        <v>70</v>
      </c>
      <c r="B71">
        <v>2642</v>
      </c>
      <c r="C71" s="1">
        <f t="shared" ref="C71" si="199">C70+alpha*(B70-C70)</f>
        <v>2352.508979367984</v>
      </c>
    </row>
    <row r="72" spans="1:5" x14ac:dyDescent="0.45">
      <c r="A72">
        <v>71</v>
      </c>
      <c r="B72">
        <v>2485</v>
      </c>
      <c r="C72" s="1">
        <f t="shared" ref="C72" si="200">C71+alpha*(B71-C71)</f>
        <v>2422.2783918075133</v>
      </c>
    </row>
    <row r="73" spans="1:5" x14ac:dyDescent="0.45">
      <c r="A73">
        <v>72</v>
      </c>
      <c r="B73">
        <v>2701</v>
      </c>
      <c r="C73" s="1">
        <f t="shared" ref="C73" si="201">C72+alpha*(B72-C72)</f>
        <v>2437.3947492727584</v>
      </c>
    </row>
    <row r="74" spans="1:5" x14ac:dyDescent="0.45">
      <c r="A74">
        <v>73</v>
      </c>
      <c r="B74">
        <v>2676</v>
      </c>
      <c r="C74" s="1">
        <f t="shared" ref="C74" si="202">C73+alpha*(B73-C73)</f>
        <v>2500.9255054912483</v>
      </c>
    </row>
    <row r="75" spans="1:5" x14ac:dyDescent="0.45">
      <c r="A75">
        <v>74</v>
      </c>
      <c r="B75">
        <v>2471</v>
      </c>
      <c r="C75" s="1">
        <f t="shared" ref="C75" si="203">C74+alpha*(B74-C74)</f>
        <v>2543.1197144458324</v>
      </c>
    </row>
    <row r="76" spans="1:5" x14ac:dyDescent="0.45">
      <c r="A76">
        <v>75</v>
      </c>
      <c r="B76">
        <v>2274</v>
      </c>
      <c r="C76" s="1">
        <f t="shared" ref="C76" si="204">C75+alpha*(B75-C75)</f>
        <v>2525.7383459625989</v>
      </c>
    </row>
    <row r="77" spans="1:5" x14ac:dyDescent="0.45">
      <c r="A77">
        <v>76</v>
      </c>
      <c r="B77">
        <v>2916</v>
      </c>
      <c r="C77" s="1">
        <f t="shared" ref="C77" si="205">C76+alpha*(B76-C76)</f>
        <v>2465.0675989115693</v>
      </c>
    </row>
    <row r="78" spans="1:5" x14ac:dyDescent="0.45">
      <c r="A78">
        <v>77</v>
      </c>
      <c r="B78">
        <v>2569</v>
      </c>
      <c r="C78" s="1">
        <f t="shared" ref="C78" si="206">C77+alpha*(B77-C77)</f>
        <v>2573.7455420311858</v>
      </c>
    </row>
    <row r="79" spans="1:5" x14ac:dyDescent="0.45">
      <c r="A79">
        <v>78</v>
      </c>
      <c r="B79">
        <v>2728</v>
      </c>
      <c r="C79" s="1">
        <f t="shared" ref="C79" si="207">C78+alpha*(B78-C78)</f>
        <v>2572.6018323627472</v>
      </c>
    </row>
    <row r="80" spans="1:5" x14ac:dyDescent="0.45">
      <c r="A80">
        <v>79</v>
      </c>
      <c r="B80">
        <v>2744</v>
      </c>
      <c r="C80" s="1">
        <f t="shared" ref="C80" si="208">C79+alpha*(B79-C79)</f>
        <v>2610.0539054065339</v>
      </c>
    </row>
    <row r="81" spans="1:3" x14ac:dyDescent="0.45">
      <c r="A81">
        <v>80</v>
      </c>
      <c r="B81">
        <v>2063</v>
      </c>
      <c r="C81" s="1">
        <f t="shared" ref="C81" si="209">C80+alpha*(B80-C80)</f>
        <v>2642.3358749748922</v>
      </c>
    </row>
    <row r="82" spans="1:3" x14ac:dyDescent="0.45">
      <c r="A82">
        <v>81</v>
      </c>
      <c r="B82">
        <v>2219</v>
      </c>
      <c r="C82" s="1">
        <f t="shared" ref="C82" si="210">C81+alpha*(B81-C81)</f>
        <v>2502.7117736335308</v>
      </c>
    </row>
    <row r="83" spans="1:3" x14ac:dyDescent="0.45">
      <c r="A83">
        <v>82</v>
      </c>
      <c r="B83">
        <v>2696</v>
      </c>
      <c r="C83" s="1">
        <f t="shared" ref="C83" si="211">C82+alpha*(B82-C82)</f>
        <v>2434.3352011741395</v>
      </c>
    </row>
    <row r="84" spans="1:3" x14ac:dyDescent="0.45">
      <c r="A84">
        <v>83</v>
      </c>
      <c r="B84">
        <v>2526</v>
      </c>
      <c r="C84" s="1">
        <f t="shared" ref="C84" si="212">C83+alpha*(B83-C83)</f>
        <v>2497.3982945658827</v>
      </c>
    </row>
    <row r="85" spans="1:3" x14ac:dyDescent="0.45">
      <c r="A85">
        <v>84</v>
      </c>
      <c r="B85">
        <v>2016</v>
      </c>
      <c r="C85" s="1">
        <f t="shared" ref="C85" si="213">C84+alpha*(B84-C84)</f>
        <v>2504.2915107304125</v>
      </c>
    </row>
    <row r="86" spans="1:3" x14ac:dyDescent="0.45">
      <c r="A86">
        <v>85</v>
      </c>
      <c r="B86">
        <v>2952</v>
      </c>
      <c r="C86" s="1">
        <f t="shared" ref="C86" si="214">C85+alpha*(B85-C85)</f>
        <v>2386.60975421688</v>
      </c>
    </row>
    <row r="87" spans="1:3" x14ac:dyDescent="0.45">
      <c r="A87">
        <v>86</v>
      </c>
      <c r="B87">
        <v>2458</v>
      </c>
      <c r="C87" s="1">
        <f t="shared" ref="C87" si="215">C86+alpha*(B86-C86)</f>
        <v>2522.8728588935251</v>
      </c>
    </row>
    <row r="88" spans="1:3" x14ac:dyDescent="0.45">
      <c r="A88">
        <v>87</v>
      </c>
      <c r="B88">
        <v>2908</v>
      </c>
      <c r="C88" s="1">
        <f t="shared" ref="C88" si="216">C87+alpha*(B87-C87)</f>
        <v>2507.2380345787942</v>
      </c>
    </row>
    <row r="89" spans="1:3" x14ac:dyDescent="0.45">
      <c r="A89">
        <v>88</v>
      </c>
      <c r="B89">
        <v>1694</v>
      </c>
      <c r="C89" s="1">
        <f t="shared" ref="C89" si="217">C88+alpha*(B88-C88)</f>
        <v>2603.8245428390651</v>
      </c>
    </row>
    <row r="90" spans="1:3" x14ac:dyDescent="0.45">
      <c r="A90">
        <v>89</v>
      </c>
      <c r="B90">
        <v>2561</v>
      </c>
      <c r="C90" s="1">
        <f t="shared" ref="C90" si="218">C89+alpha*(B89-C89)</f>
        <v>2384.550302006448</v>
      </c>
    </row>
    <row r="91" spans="1:3" x14ac:dyDescent="0.45">
      <c r="A91">
        <v>90</v>
      </c>
      <c r="B91">
        <v>1687</v>
      </c>
      <c r="C91" s="1">
        <f t="shared" ref="C91" si="219">C90+alpha*(B90-C90)</f>
        <v>2427.0759448649574</v>
      </c>
    </row>
    <row r="92" spans="1:3" x14ac:dyDescent="0.45">
      <c r="A92">
        <v>91</v>
      </c>
      <c r="B92">
        <v>1772</v>
      </c>
      <c r="C92" s="1">
        <f t="shared" ref="C92" si="220">C91+alpha*(B91-C91)</f>
        <v>2248.7123337203739</v>
      </c>
    </row>
    <row r="93" spans="1:3" x14ac:dyDescent="0.45">
      <c r="A93">
        <v>92</v>
      </c>
      <c r="B93">
        <v>1855</v>
      </c>
      <c r="C93" s="1">
        <f t="shared" ref="C93" si="221">C92+alpha*(B92-C92)</f>
        <v>2133.8212419216225</v>
      </c>
    </row>
    <row r="94" spans="1:3" x14ac:dyDescent="0.45">
      <c r="A94">
        <v>93</v>
      </c>
      <c r="B94">
        <v>2068</v>
      </c>
      <c r="C94" s="1">
        <f t="shared" ref="C94" si="222">C93+alpha*(B93-C93)</f>
        <v>2066.6233226837089</v>
      </c>
    </row>
    <row r="95" spans="1:3" x14ac:dyDescent="0.45">
      <c r="A95">
        <v>94</v>
      </c>
      <c r="B95">
        <v>2170</v>
      </c>
      <c r="C95" s="1">
        <f t="shared" ref="C95" si="223">C94+alpha*(B94-C94)</f>
        <v>2066.9551117915948</v>
      </c>
    </row>
    <row r="96" spans="1:3" x14ac:dyDescent="0.45">
      <c r="A96">
        <v>95</v>
      </c>
      <c r="B96">
        <v>1864</v>
      </c>
      <c r="C96" s="1">
        <f t="shared" ref="C96" si="224">C95+alpha*(B95-C95)</f>
        <v>2091.7896689723375</v>
      </c>
    </row>
    <row r="97" spans="1:3" x14ac:dyDescent="0.45">
      <c r="A97">
        <v>96</v>
      </c>
      <c r="B97">
        <v>1508</v>
      </c>
      <c r="C97" s="1">
        <f t="shared" ref="C97" si="225">C96+alpha*(B96-C96)</f>
        <v>2036.8907248555292</v>
      </c>
    </row>
    <row r="98" spans="1:3" x14ac:dyDescent="0.45">
      <c r="A98">
        <v>97</v>
      </c>
      <c r="B98">
        <v>1622</v>
      </c>
      <c r="C98" s="1">
        <f t="shared" ref="C98" si="226">C97+alpha*(B97-C97)</f>
        <v>1909.4242665269562</v>
      </c>
    </row>
    <row r="99" spans="1:3" x14ac:dyDescent="0.45">
      <c r="A99">
        <v>98</v>
      </c>
      <c r="B99">
        <v>1635</v>
      </c>
      <c r="C99" s="1">
        <f t="shared" ref="C99" si="227">C98+alpha*(B98-C98)</f>
        <v>1840.1529566512033</v>
      </c>
    </row>
    <row r="100" spans="1:3" x14ac:dyDescent="0.45">
      <c r="A100">
        <v>99</v>
      </c>
      <c r="B100">
        <v>1503</v>
      </c>
      <c r="C100" s="1">
        <f t="shared" ref="C100" si="228">C99+alpha*(B99-C99)</f>
        <v>1790.7096225728694</v>
      </c>
    </row>
    <row r="101" spans="1:3" x14ac:dyDescent="0.45">
      <c r="A101">
        <v>100</v>
      </c>
      <c r="B101">
        <v>1799</v>
      </c>
      <c r="C101" s="1">
        <f t="shared" ref="C101" si="229">C100+alpha*(B100-C100)</f>
        <v>1721.3695398432437</v>
      </c>
    </row>
    <row r="102" spans="1:3" x14ac:dyDescent="0.45">
      <c r="A102">
        <v>101</v>
      </c>
      <c r="B102">
        <v>2172</v>
      </c>
      <c r="C102" s="1">
        <f t="shared" ref="C102" si="230">C101+alpha*(B101-C101)</f>
        <v>1740.0790375704012</v>
      </c>
    </row>
    <row r="103" spans="1:3" x14ac:dyDescent="0.45">
      <c r="A103">
        <v>102</v>
      </c>
      <c r="B103">
        <v>1475</v>
      </c>
      <c r="C103" s="1">
        <f t="shared" ref="C103" si="231">C102+alpha*(B102-C102)</f>
        <v>1844.1750876075964</v>
      </c>
    </row>
    <row r="104" spans="1:3" x14ac:dyDescent="0.45">
      <c r="A104">
        <v>103</v>
      </c>
      <c r="B104">
        <v>1985</v>
      </c>
      <c r="C104" s="1">
        <f t="shared" ref="C104" si="232">C103+alpha*(B103-C103)</f>
        <v>1755.2012434674195</v>
      </c>
    </row>
    <row r="105" spans="1:3" x14ac:dyDescent="0.45">
      <c r="A105">
        <v>104</v>
      </c>
      <c r="B105">
        <v>1476</v>
      </c>
      <c r="C105" s="1">
        <f t="shared" ref="C105:C106" si="233">C104+alpha*(B104-C104)</f>
        <v>1810.5843920970715</v>
      </c>
    </row>
    <row r="106" spans="1:3" x14ac:dyDescent="0.45">
      <c r="C106" s="1">
        <f t="shared" si="233"/>
        <v>1729.9471536877913</v>
      </c>
    </row>
    <row r="107" spans="1:3" x14ac:dyDescent="0.45">
      <c r="C107" s="1"/>
    </row>
    <row r="108" spans="1:3" x14ac:dyDescent="0.45">
      <c r="C108" s="1"/>
    </row>
    <row r="109" spans="1:3" x14ac:dyDescent="0.45">
      <c r="C109" s="1"/>
    </row>
    <row r="110" spans="1:3" x14ac:dyDescent="0.45">
      <c r="C110" s="1"/>
    </row>
    <row r="111" spans="1:3" x14ac:dyDescent="0.45">
      <c r="C111" s="1"/>
    </row>
    <row r="112" spans="1:3" x14ac:dyDescent="0.45">
      <c r="C112" s="1"/>
    </row>
    <row r="113" spans="3:3" x14ac:dyDescent="0.45">
      <c r="C113" s="1"/>
    </row>
    <row r="114" spans="3:3" x14ac:dyDescent="0.45">
      <c r="C114" s="1"/>
    </row>
    <row r="115" spans="3:3" x14ac:dyDescent="0.45">
      <c r="C115" s="1"/>
    </row>
    <row r="116" spans="3:3" x14ac:dyDescent="0.45">
      <c r="C116" s="1"/>
    </row>
    <row r="117" spans="3:3" x14ac:dyDescent="0.45">
      <c r="C117" s="1"/>
    </row>
    <row r="118" spans="3:3" x14ac:dyDescent="0.45">
      <c r="C118" s="1"/>
    </row>
    <row r="119" spans="3:3" x14ac:dyDescent="0.45">
      <c r="C119" s="1"/>
    </row>
    <row r="120" spans="3:3" x14ac:dyDescent="0.45">
      <c r="C120" s="1"/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20"/>
  <sheetViews>
    <sheetView topLeftCell="A73" workbookViewId="0">
      <selection activeCell="C106" sqref="C106"/>
    </sheetView>
  </sheetViews>
  <sheetFormatPr defaultColWidth="8.796875" defaultRowHeight="14.35" x14ac:dyDescent="0.45"/>
  <cols>
    <col min="2" max="2" width="13.33203125" customWidth="1"/>
    <col min="12" max="12" width="22.3984375" style="16" bestFit="1" customWidth="1"/>
    <col min="14" max="14" width="23" customWidth="1"/>
  </cols>
  <sheetData>
    <row r="1" spans="1:15" x14ac:dyDescent="0.45">
      <c r="A1" s="3" t="s">
        <v>0</v>
      </c>
      <c r="B1" s="3" t="s">
        <v>1</v>
      </c>
      <c r="C1" t="s">
        <v>6</v>
      </c>
      <c r="D1" t="s">
        <v>9</v>
      </c>
      <c r="E1" t="s">
        <v>10</v>
      </c>
      <c r="F1" t="s">
        <v>11</v>
      </c>
      <c r="G1" t="s">
        <v>13</v>
      </c>
      <c r="H1" t="s">
        <v>4</v>
      </c>
      <c r="I1" t="s">
        <v>7</v>
      </c>
      <c r="J1" t="s">
        <v>5</v>
      </c>
      <c r="K1" t="s">
        <v>8</v>
      </c>
      <c r="L1" s="16" t="s">
        <v>12</v>
      </c>
    </row>
    <row r="2" spans="1:15" x14ac:dyDescent="0.45">
      <c r="A2">
        <v>1</v>
      </c>
      <c r="B2">
        <v>1525</v>
      </c>
      <c r="C2" s="1">
        <f>B2</f>
        <v>1525</v>
      </c>
      <c r="D2" s="1">
        <f t="shared" ref="D2:D3" si="0">B2-C2</f>
        <v>0</v>
      </c>
      <c r="E2">
        <v>0</v>
      </c>
      <c r="F2" s="1">
        <v>0</v>
      </c>
      <c r="G2">
        <f>IF(F2=0,0,ABS(E2/F2))</f>
        <v>0</v>
      </c>
      <c r="H2">
        <f t="shared" ref="H2:H3" si="1">ABS((B2-C2)/B2)</f>
        <v>0</v>
      </c>
      <c r="I2">
        <f t="shared" ref="I2:I3" si="2">(B2-C2)^2</f>
        <v>0</v>
      </c>
      <c r="J2">
        <f>AVERAGE(H:H)</f>
        <v>0.14864272010434287</v>
      </c>
      <c r="K2">
        <f>SUM(I:I)</f>
        <v>14685652.719567329</v>
      </c>
      <c r="L2" s="16">
        <v>0.14746001884604884</v>
      </c>
      <c r="N2" s="16">
        <v>1.3787174773607935E-7</v>
      </c>
      <c r="O2">
        <v>2140397.323586103</v>
      </c>
    </row>
    <row r="3" spans="1:15" x14ac:dyDescent="0.45">
      <c r="A3">
        <v>2</v>
      </c>
      <c r="B3">
        <v>1960</v>
      </c>
      <c r="C3" s="1">
        <f t="shared" ref="C3" si="3">C2+G2*(B2-C2)</f>
        <v>1525</v>
      </c>
      <c r="D3" s="1">
        <f t="shared" si="0"/>
        <v>435</v>
      </c>
      <c r="E3">
        <f t="shared" ref="E3" si="4">gamma*(D2-E2)+E2</f>
        <v>0</v>
      </c>
      <c r="F3">
        <f t="shared" ref="F3" si="5">gamma*(ABS(D2)-F2)+F2</f>
        <v>0</v>
      </c>
      <c r="G3">
        <f t="shared" ref="G3" si="6">IF(F3=0,0,ABS(E3/F3))</f>
        <v>0</v>
      </c>
      <c r="H3">
        <f t="shared" si="1"/>
        <v>0.22193877551020408</v>
      </c>
      <c r="I3">
        <f t="shared" si="2"/>
        <v>189225</v>
      </c>
      <c r="N3" s="16">
        <v>0.35227663945781951</v>
      </c>
      <c r="O3">
        <v>2146598.0425172034</v>
      </c>
    </row>
    <row r="4" spans="1:15" x14ac:dyDescent="0.45">
      <c r="A4">
        <v>3</v>
      </c>
      <c r="B4">
        <v>2062</v>
      </c>
      <c r="C4" s="1">
        <f t="shared" ref="C4" si="7">C3+G3*(B3-C3)</f>
        <v>1525</v>
      </c>
      <c r="D4" s="1">
        <f t="shared" ref="D4" si="8">B4-C4</f>
        <v>537</v>
      </c>
      <c r="E4">
        <f t="shared" ref="E4" si="9">gamma*(D3-E3)+E3</f>
        <v>64.145108198031252</v>
      </c>
      <c r="F4">
        <f t="shared" ref="F4" si="10">gamma*(ABS(D3)-F3)+F3</f>
        <v>64.145108198031252</v>
      </c>
      <c r="G4">
        <f t="shared" ref="G4" si="11">IF(F4=0,0,ABS(E4/F4))</f>
        <v>1</v>
      </c>
      <c r="H4">
        <f t="shared" ref="H4" si="12">ABS((B4-C4)/B4)</f>
        <v>0.26042677012609117</v>
      </c>
      <c r="I4">
        <f t="shared" ref="I4" si="13">(B4-C4)^2</f>
        <v>288369</v>
      </c>
      <c r="N4" s="16"/>
    </row>
    <row r="5" spans="1:15" x14ac:dyDescent="0.45">
      <c r="A5">
        <v>4</v>
      </c>
      <c r="B5">
        <v>2214</v>
      </c>
      <c r="C5" s="1">
        <f t="shared" ref="C5" si="14">C4+G4*(B4-C4)</f>
        <v>2062</v>
      </c>
      <c r="D5" s="1">
        <f t="shared" ref="D5" si="15">B5-C5</f>
        <v>152</v>
      </c>
      <c r="E5">
        <f t="shared" ref="E5" si="16">gamma*(D4-E4)+E4</f>
        <v>133.87229945459595</v>
      </c>
      <c r="F5">
        <f t="shared" ref="F5" si="17">gamma*(ABS(D4)-F4)+F4</f>
        <v>133.87229945459595</v>
      </c>
      <c r="G5">
        <f t="shared" ref="G5" si="18">IF(F5=0,0,ABS(E5/F5))</f>
        <v>1</v>
      </c>
      <c r="H5">
        <f t="shared" ref="H5" si="19">ABS((B5-C5)/B5)</f>
        <v>6.8654019873532063E-2</v>
      </c>
      <c r="I5">
        <f t="shared" ref="I5" si="20">(B5-C5)^2</f>
        <v>23104</v>
      </c>
      <c r="N5" s="16"/>
    </row>
    <row r="6" spans="1:15" x14ac:dyDescent="0.45">
      <c r="A6">
        <v>5</v>
      </c>
      <c r="B6">
        <v>1622</v>
      </c>
      <c r="C6" s="1">
        <f t="shared" ref="C6" si="21">C5+G5*(B5-C5)</f>
        <v>2214</v>
      </c>
      <c r="D6" s="1">
        <f t="shared" ref="D6" si="22">B6-C6</f>
        <v>-592</v>
      </c>
      <c r="E6">
        <f t="shared" ref="E6" si="23">gamma*(D5-E5)+E5</f>
        <v>136.54541051865675</v>
      </c>
      <c r="F6">
        <f t="shared" ref="F6" si="24">gamma*(ABS(D5)-F5)+F5</f>
        <v>136.54541051865675</v>
      </c>
      <c r="G6">
        <f t="shared" ref="G6" si="25">IF(F6=0,0,ABS(E6/F6))</f>
        <v>1</v>
      </c>
      <c r="H6">
        <f t="shared" ref="H6" si="26">ABS((B6-C6)/B6)</f>
        <v>0.36498150431565968</v>
      </c>
      <c r="I6">
        <f t="shared" ref="I6" si="27">(B6-C6)^2</f>
        <v>350464</v>
      </c>
    </row>
    <row r="7" spans="1:15" x14ac:dyDescent="0.45">
      <c r="A7">
        <v>6</v>
      </c>
      <c r="B7">
        <v>1927</v>
      </c>
      <c r="C7" s="1">
        <f t="shared" ref="C7" si="28">C6+G6*(B6-C6)</f>
        <v>1622</v>
      </c>
      <c r="D7" s="1">
        <f t="shared" ref="D7" si="29">B7-C7</f>
        <v>305</v>
      </c>
      <c r="E7">
        <f t="shared" ref="E7" si="30">gamma*(D6-E6)+E6</f>
        <v>29.114090553373231</v>
      </c>
      <c r="F7">
        <f t="shared" ref="F7" si="31">gamma*(ABS(D6)-F6)+F6</f>
        <v>203.70675286709508</v>
      </c>
      <c r="G7">
        <f t="shared" ref="G7" si="32">IF(F7=0,0,ABS(E7/F7))</f>
        <v>0.14292157792318358</v>
      </c>
      <c r="H7">
        <f t="shared" ref="H7" si="33">ABS((B7-C7)/B7)</f>
        <v>0.15827711468604047</v>
      </c>
      <c r="I7">
        <f t="shared" ref="I7" si="34">(B7-C7)^2</f>
        <v>93025</v>
      </c>
    </row>
    <row r="8" spans="1:15" x14ac:dyDescent="0.45">
      <c r="A8">
        <v>7</v>
      </c>
      <c r="B8">
        <v>1952</v>
      </c>
      <c r="C8" s="1">
        <f t="shared" ref="C8" si="35">C7+G7*(B7-C7)</f>
        <v>1665.5910812665709</v>
      </c>
      <c r="D8" s="1">
        <f t="shared" ref="D8" si="36">B8-C8</f>
        <v>286.40891873342912</v>
      </c>
      <c r="E8">
        <f t="shared" ref="E8" si="37">gamma*(D7-E7)+E7</f>
        <v>69.79623195973214</v>
      </c>
      <c r="F8">
        <f t="shared" ref="F8" si="38">gamma*(ABS(D7)-F7)+F7</f>
        <v>218.64345699829073</v>
      </c>
      <c r="G8">
        <f t="shared" ref="G8" si="39">IF(F8=0,0,ABS(E8/F8))</f>
        <v>0.31922396818066129</v>
      </c>
      <c r="H8">
        <f t="shared" ref="H8" si="40">ABS((B8-C8)/B8)</f>
        <v>0.14672588049868296</v>
      </c>
      <c r="I8">
        <f t="shared" ref="I8" si="41">(B8-C8)^2</f>
        <v>82030.068730052008</v>
      </c>
    </row>
    <row r="9" spans="1:15" x14ac:dyDescent="0.45">
      <c r="A9">
        <v>8</v>
      </c>
      <c r="B9">
        <v>2215</v>
      </c>
      <c r="C9" s="1">
        <f t="shared" ref="C9" si="42">C8+G8*(B8-C8)</f>
        <v>1757.0196728269887</v>
      </c>
      <c r="D9" s="1">
        <f t="shared" ref="D9" si="43">B9-C9</f>
        <v>457.98032717301135</v>
      </c>
      <c r="E9">
        <f t="shared" ref="E9" si="44">gamma*(D8-E8)+E8</f>
        <v>101.73794283367477</v>
      </c>
      <c r="F9">
        <f t="shared" ref="F9" si="45">gamma*(ABS(D8)-F8)+F8</f>
        <v>228.63615326286543</v>
      </c>
      <c r="G9">
        <f t="shared" ref="G9" si="46">IF(F9=0,0,ABS(E9/F9))</f>
        <v>0.44497749538632925</v>
      </c>
      <c r="H9">
        <f t="shared" ref="H9" si="47">ABS((B9-C9)/B9)</f>
        <v>0.20676312739187871</v>
      </c>
      <c r="I9">
        <f t="shared" ref="I9" si="48">(B9-C9)^2</f>
        <v>209745.98007749851</v>
      </c>
    </row>
    <row r="10" spans="1:15" x14ac:dyDescent="0.45">
      <c r="A10">
        <v>9</v>
      </c>
      <c r="B10">
        <v>2010</v>
      </c>
      <c r="C10" s="1">
        <f t="shared" ref="C10" si="49">C9+G9*(B9-C9)</f>
        <v>1960.8106117486468</v>
      </c>
      <c r="D10" s="1">
        <f t="shared" ref="D10" si="50">B10-C10</f>
        <v>49.189388251353193</v>
      </c>
      <c r="E10">
        <f t="shared" ref="E10" si="51">gamma*(D9-E9)+E9</f>
        <v>154.26945154211472</v>
      </c>
      <c r="F10">
        <f t="shared" ref="F10" si="52">gamma*(ABS(D9)-F9)+F9</f>
        <v>262.45524946988706</v>
      </c>
      <c r="G10">
        <f t="shared" ref="G10" si="53">IF(F10=0,0,ABS(E10/F10))</f>
        <v>0.58779335469079619</v>
      </c>
      <c r="H10">
        <f t="shared" ref="H10" si="54">ABS((B10-C10)/B10)</f>
        <v>2.4472332463359798E-2</v>
      </c>
      <c r="I10">
        <f t="shared" ref="I10" si="55">(B10-C10)^2</f>
        <v>2419.5959165423637</v>
      </c>
    </row>
    <row r="11" spans="1:15" x14ac:dyDescent="0.45">
      <c r="A11">
        <v>10</v>
      </c>
      <c r="B11">
        <v>2068</v>
      </c>
      <c r="C11" s="1">
        <f t="shared" ref="C11" si="56">C10+G10*(B10-C10)</f>
        <v>1989.7238072840978</v>
      </c>
      <c r="D11" s="1">
        <f t="shared" ref="D11" si="57">B11-C11</f>
        <v>78.276192715902198</v>
      </c>
      <c r="E11">
        <f t="shared" ref="E11" si="58">gamma*(D10-E10)+E10</f>
        <v>138.77434342891502</v>
      </c>
      <c r="F11">
        <f t="shared" ref="F11" si="59">gamma*(ABS(D10)-F10)+F10</f>
        <v>231.00706155538322</v>
      </c>
      <c r="G11">
        <f t="shared" ref="G11" si="60">IF(F11=0,0,ABS(E11/F11))</f>
        <v>0.60073636924577001</v>
      </c>
      <c r="H11">
        <f t="shared" ref="H11" si="61">ABS((B11-C11)/B11)</f>
        <v>3.7851157019295069E-2</v>
      </c>
      <c r="I11">
        <f t="shared" ref="I11" si="62">(B11-C11)^2</f>
        <v>6127.1623460970604</v>
      </c>
    </row>
    <row r="12" spans="1:15" x14ac:dyDescent="0.45">
      <c r="A12">
        <v>11</v>
      </c>
      <c r="B12">
        <v>1866</v>
      </c>
      <c r="C12" s="1">
        <f t="shared" ref="C12" si="63">C11+G11*(B11-C11)</f>
        <v>2036.7471630946311</v>
      </c>
      <c r="D12" s="1">
        <f t="shared" ref="D12" si="64">B12-C12</f>
        <v>-170.74716309463111</v>
      </c>
      <c r="E12">
        <f t="shared" ref="E12" si="65">gamma*(D11-E11)+E11</f>
        <v>129.85328498462303</v>
      </c>
      <c r="F12">
        <f t="shared" ref="F12" si="66">gamma*(ABS(D11)-F11)+F11</f>
        <v>208.48536475793992</v>
      </c>
      <c r="G12">
        <f t="shared" ref="G12" si="67">IF(F12=0,0,ABS(E12/F12))</f>
        <v>0.62284124900272031</v>
      </c>
      <c r="H12">
        <f t="shared" ref="H12" si="68">ABS((B12-C12)/B12)</f>
        <v>9.1504374648784081E-2</v>
      </c>
      <c r="I12">
        <f t="shared" ref="I12" si="69">(B12-C12)^2</f>
        <v>29154.593704864554</v>
      </c>
    </row>
    <row r="13" spans="1:15" x14ac:dyDescent="0.45">
      <c r="A13">
        <v>12</v>
      </c>
      <c r="B13">
        <v>1445</v>
      </c>
      <c r="C13" s="1">
        <f t="shared" ref="C13" si="70">C12+G12*(B12-C12)</f>
        <v>1930.3987867690998</v>
      </c>
      <c r="D13" s="1">
        <f t="shared" ref="D13" si="71">B13-C13</f>
        <v>-485.39878676909984</v>
      </c>
      <c r="E13">
        <f t="shared" ref="E13" si="72">gamma*(D12-E12)+E12</f>
        <v>85.526737245725485</v>
      </c>
      <c r="F13">
        <f t="shared" ref="F13" si="73">gamma*(ABS(D12)-F12)+F12</f>
        <v>202.92048882945241</v>
      </c>
      <c r="G13">
        <f t="shared" ref="G13" si="74">IF(F13=0,0,ABS(E13/F13))</f>
        <v>0.42147906176989214</v>
      </c>
      <c r="H13">
        <f t="shared" ref="H13" si="75">ABS((B13-C13)/B13)</f>
        <v>0.33591611541114175</v>
      </c>
      <c r="I13">
        <f t="shared" ref="I13" si="76">(B13-C13)^2</f>
        <v>235611.98219691406</v>
      </c>
    </row>
    <row r="14" spans="1:15" x14ac:dyDescent="0.45">
      <c r="A14">
        <v>13</v>
      </c>
      <c r="B14">
        <v>1724</v>
      </c>
      <c r="C14" s="1">
        <f t="shared" ref="C14" si="77">C13+G13*(B13-C13)</f>
        <v>1725.8133615374156</v>
      </c>
      <c r="D14" s="1">
        <f t="shared" ref="D14" si="78">B14-C14</f>
        <v>-1.8133615374156307</v>
      </c>
      <c r="E14">
        <f t="shared" ref="E14" si="79">gamma*(D13-E13)+E13</f>
        <v>1.3380487148090339</v>
      </c>
      <c r="F14">
        <f t="shared" ref="F14" si="80">gamma*(ABS(D13)-F13)+F13</f>
        <v>244.57474396723262</v>
      </c>
      <c r="G14">
        <f t="shared" ref="G14" si="81">IF(F14=0,0,ABS(E14/F14))</f>
        <v>5.4709194134464744E-3</v>
      </c>
      <c r="H14">
        <f t="shared" ref="H14" si="82">ABS((B14-C14)/B14)</f>
        <v>1.0518338384081383E-3</v>
      </c>
      <c r="I14">
        <f t="shared" ref="I14" si="83">(B14-C14)^2</f>
        <v>3.2882800653783795</v>
      </c>
    </row>
    <row r="15" spans="1:15" x14ac:dyDescent="0.45">
      <c r="A15">
        <v>14</v>
      </c>
      <c r="B15">
        <v>2421</v>
      </c>
      <c r="C15" s="1">
        <f t="shared" ref="C15" si="84">C14+G14*(B14-C14)</f>
        <v>1725.8034407825769</v>
      </c>
      <c r="D15" s="1">
        <f t="shared" ref="D15" si="85">B15-C15</f>
        <v>695.1965592174231</v>
      </c>
      <c r="E15">
        <f t="shared" ref="E15" si="86">gamma*(D14-E14)+E14</f>
        <v>0.87334169962435326</v>
      </c>
      <c r="F15">
        <f t="shared" ref="F15" si="87">gamma*(ABS(D14)-F14)+F14</f>
        <v>208.77714593903895</v>
      </c>
      <c r="G15">
        <f t="shared" ref="G15" si="88">IF(F15=0,0,ABS(E15/F15))</f>
        <v>4.1831288367135799E-3</v>
      </c>
      <c r="H15">
        <f t="shared" ref="H15" si="89">ABS((B15-C15)/B15)</f>
        <v>0.28715264734300833</v>
      </c>
      <c r="I15">
        <f t="shared" ref="I15" si="90">(B15-C15)^2</f>
        <v>483298.25594774407</v>
      </c>
    </row>
    <row r="16" spans="1:15" x14ac:dyDescent="0.45">
      <c r="A16">
        <v>15</v>
      </c>
      <c r="B16">
        <v>1797</v>
      </c>
      <c r="C16" s="1">
        <f t="shared" ref="C16" si="91">C15+G15*(B15-C15)</f>
        <v>1728.7115375566234</v>
      </c>
      <c r="D16" s="1">
        <f t="shared" ref="D16" si="92">B16-C16</f>
        <v>68.288462443376602</v>
      </c>
      <c r="E16">
        <f t="shared" ref="E16" si="93">gamma*(D15-E15)+E15</f>
        <v>103.25825644004821</v>
      </c>
      <c r="F16">
        <f t="shared" ref="F16" si="94">gamma*(ABS(D15)-F15)+F15</f>
        <v>280.50456178815352</v>
      </c>
      <c r="G16">
        <f t="shared" ref="G16" si="95">IF(F16=0,0,ABS(E16/F16))</f>
        <v>0.36811613965134843</v>
      </c>
      <c r="H16">
        <f t="shared" ref="H16" si="96">ABS((B16-C16)/B16)</f>
        <v>3.800137030794469E-2</v>
      </c>
      <c r="I16">
        <f t="shared" ref="I16" si="97">(B16-C16)^2</f>
        <v>4663.3141028804566</v>
      </c>
    </row>
    <row r="17" spans="1:9" x14ac:dyDescent="0.45">
      <c r="A17">
        <v>16</v>
      </c>
      <c r="B17">
        <v>2289</v>
      </c>
      <c r="C17" s="1">
        <f t="shared" ref="C17" si="98">C16+G16*(B16-C16)</f>
        <v>1753.8496227340054</v>
      </c>
      <c r="D17" s="1">
        <f t="shared" ref="D17" si="99">B17-C17</f>
        <v>535.15037726599462</v>
      </c>
      <c r="E17">
        <f t="shared" ref="E17" si="100">gamma*(D16-E16)+E16</f>
        <v>98.101609958256574</v>
      </c>
      <c r="F17">
        <f t="shared" ref="F17" si="101">gamma*(ABS(D16)-F16)+F16</f>
        <v>249.21117177933775</v>
      </c>
      <c r="G17">
        <f t="shared" ref="G17" si="102">IF(F17=0,0,ABS(E17/F17))</f>
        <v>0.39364852409233059</v>
      </c>
      <c r="H17">
        <f t="shared" ref="H17" si="103">ABS((B17-C17)/B17)</f>
        <v>0.23379221374661188</v>
      </c>
      <c r="I17">
        <f t="shared" ref="I17" si="104">(B17-C17)^2</f>
        <v>286385.9262879364</v>
      </c>
    </row>
    <row r="18" spans="1:9" x14ac:dyDescent="0.45">
      <c r="A18">
        <v>17</v>
      </c>
      <c r="B18">
        <v>2072</v>
      </c>
      <c r="C18" s="1">
        <f t="shared" ref="C18" si="105">C17+G17*(B17-C17)</f>
        <v>1964.510778912218</v>
      </c>
      <c r="D18" s="1">
        <f t="shared" ref="D18" si="106">B18-C18</f>
        <v>107.48922108778197</v>
      </c>
      <c r="E18">
        <f t="shared" ref="E18" si="107">gamma*(D17-E17)+E17</f>
        <v>162.54882942209804</v>
      </c>
      <c r="F18">
        <f t="shared" ref="F18" si="108">gamma*(ABS(D17)-F17)+F17</f>
        <v>291.3757724092244</v>
      </c>
      <c r="G18">
        <f t="shared" ref="G18" si="109">IF(F18=0,0,ABS(E18/F18))</f>
        <v>0.55786666158985032</v>
      </c>
      <c r="H18">
        <f t="shared" ref="H18" si="110">ABS((B18-C18)/B18)</f>
        <v>5.1877037204527979E-2</v>
      </c>
      <c r="I18">
        <f t="shared" ref="I18" si="111">(B18-C18)^2</f>
        <v>11553.932650058072</v>
      </c>
    </row>
    <row r="19" spans="1:9" x14ac:dyDescent="0.45">
      <c r="A19">
        <v>18</v>
      </c>
      <c r="B19">
        <v>2653</v>
      </c>
      <c r="C19" s="1">
        <f t="shared" ref="C19" si="112">C18+G18*(B18-C18)</f>
        <v>2024.4754318373523</v>
      </c>
      <c r="D19" s="1">
        <f t="shared" ref="D19" si="113">B19-C19</f>
        <v>628.52456816264771</v>
      </c>
      <c r="E19">
        <f t="shared" ref="E19" si="114">gamma*(D18-E18)+E18</f>
        <v>154.42973853946373</v>
      </c>
      <c r="F19">
        <f t="shared" ref="F19" si="115">gamma*(ABS(D18)-F18)+F18</f>
        <v>264.25985808582959</v>
      </c>
      <c r="G19">
        <f t="shared" ref="G19" si="116">IF(F19=0,0,ABS(E19/F19))</f>
        <v>0.58438591338873014</v>
      </c>
      <c r="H19">
        <f t="shared" ref="H19" si="117">ABS((B19-C19)/B19)</f>
        <v>0.23691088132779786</v>
      </c>
      <c r="I19">
        <f t="shared" ref="I19" si="118">(B19-C19)^2</f>
        <v>395043.1327840428</v>
      </c>
    </row>
    <row r="20" spans="1:9" x14ac:dyDescent="0.45">
      <c r="A20">
        <v>19</v>
      </c>
      <c r="B20">
        <v>2558</v>
      </c>
      <c r="C20" s="1">
        <f t="shared" ref="C20" si="119">C19+G19*(B19-C19)</f>
        <v>2391.7763356903383</v>
      </c>
      <c r="D20" s="1">
        <f t="shared" ref="D20" si="120">B20-C20</f>
        <v>166.22366430966167</v>
      </c>
      <c r="E20">
        <f t="shared" ref="E20" si="121">gamma*(D19-E19)+E19</f>
        <v>224.33977105051275</v>
      </c>
      <c r="F20">
        <f t="shared" ref="F20" si="122">gamma*(ABS(D19)-F19)+F19</f>
        <v>317.97433909870773</v>
      </c>
      <c r="G20">
        <f t="shared" ref="G20" si="123">IF(F20=0,0,ABS(E20/F20))</f>
        <v>0.70552791047981922</v>
      </c>
      <c r="H20">
        <f t="shared" ref="H20" si="124">ABS((B20-C20)/B20)</f>
        <v>6.4981885969375167E-2</v>
      </c>
      <c r="I20">
        <f t="shared" ref="I20" si="125">(B20-C20)^2</f>
        <v>27630.306576531093</v>
      </c>
    </row>
    <row r="21" spans="1:9" x14ac:dyDescent="0.45">
      <c r="A21">
        <v>20</v>
      </c>
      <c r="B21">
        <v>1713</v>
      </c>
      <c r="C21" s="1">
        <f t="shared" ref="C21" si="126">C20+G20*(B20-C20)</f>
        <v>2509.0517702430329</v>
      </c>
      <c r="D21" s="1">
        <f t="shared" ref="D21" si="127">B21-C21</f>
        <v>-796.05177024303293</v>
      </c>
      <c r="E21">
        <f t="shared" ref="E21" si="128">gamma*(D20-E20)+E20</f>
        <v>215.76996885524787</v>
      </c>
      <c r="F21">
        <f t="shared" ref="F21" si="129">gamma*(ABS(D20)-F20)+F20</f>
        <v>295.59718173441439</v>
      </c>
      <c r="G21">
        <f t="shared" ref="G21" si="130">IF(F21=0,0,ABS(E21/F21))</f>
        <v>0.72994596088237074</v>
      </c>
      <c r="H21">
        <f t="shared" ref="H21" si="131">ABS((B21-C21)/B21)</f>
        <v>0.46471206669178805</v>
      </c>
      <c r="I21">
        <f t="shared" ref="I21" si="132">(B21-C21)^2</f>
        <v>633698.42090706644</v>
      </c>
    </row>
    <row r="22" spans="1:9" x14ac:dyDescent="0.45">
      <c r="A22">
        <v>21</v>
      </c>
      <c r="B22">
        <v>2207</v>
      </c>
      <c r="C22" s="1">
        <f t="shared" ref="C22" si="133">C21+G21*(B21-C21)</f>
        <v>1927.97699590087</v>
      </c>
      <c r="D22" s="1">
        <f t="shared" ref="D22" si="134">B22-C22</f>
        <v>279.02300409913005</v>
      </c>
      <c r="E22">
        <f t="shared" ref="E22" si="135">gamma*(D21-E21)+E21</f>
        <v>66.566716138973476</v>
      </c>
      <c r="F22">
        <f t="shared" ref="F22" si="136">gamma*(ABS(D21)-F21)+F21</f>
        <v>369.39422478748691</v>
      </c>
      <c r="G22">
        <f t="shared" ref="G22" si="137">IF(F22=0,0,ABS(E22/F22))</f>
        <v>0.18020508083814632</v>
      </c>
      <c r="H22">
        <f t="shared" ref="H22" si="138">ABS((B22-C22)/B22)</f>
        <v>0.12642637249620756</v>
      </c>
      <c r="I22">
        <f t="shared" ref="I22" si="139">(B22-C22)^2</f>
        <v>77853.836816503142</v>
      </c>
    </row>
    <row r="23" spans="1:9" x14ac:dyDescent="0.45">
      <c r="A23">
        <v>22</v>
      </c>
      <c r="B23">
        <v>2141</v>
      </c>
      <c r="C23" s="1">
        <f t="shared" ref="C23" si="140">C22+G22*(B22-C22)</f>
        <v>1978.2583589102562</v>
      </c>
      <c r="D23" s="1">
        <f t="shared" ref="D23" si="141">B23-C23</f>
        <v>162.74164108974378</v>
      </c>
      <c r="E23">
        <f t="shared" ref="E23" si="142">gamma*(D22-E22)+E22</f>
        <v>97.895524365539742</v>
      </c>
      <c r="F23">
        <f t="shared" ref="F23" si="143">gamma*(ABS(D22)-F22)+F22</f>
        <v>356.06808288164137</v>
      </c>
      <c r="G23">
        <f t="shared" ref="G23" si="144">IF(F23=0,0,ABS(E23/F23))</f>
        <v>0.27493484833932913</v>
      </c>
      <c r="H23">
        <f t="shared" ref="H23" si="145">ABS((B23-C23)/B23)</f>
        <v>7.6011976221272204E-2</v>
      </c>
      <c r="I23">
        <f t="shared" ref="I23" si="146">(B23-C23)^2</f>
        <v>26484.84174458298</v>
      </c>
    </row>
    <row r="24" spans="1:9" x14ac:dyDescent="0.45">
      <c r="A24">
        <v>23</v>
      </c>
      <c r="B24">
        <v>2546</v>
      </c>
      <c r="C24" s="1">
        <f t="shared" ref="C24" si="147">C23+G23*(B23-C23)</f>
        <v>2023.0017073217584</v>
      </c>
      <c r="D24" s="1">
        <f t="shared" ref="D24" si="148">B24-C24</f>
        <v>522.99829267824157</v>
      </c>
      <c r="E24">
        <f t="shared" ref="E24" si="149">gamma*(D23-E23)+E23</f>
        <v>107.45773395978395</v>
      </c>
      <c r="F24">
        <f t="shared" ref="F24" si="150">gamma*(ABS(D23)-F23)+F23</f>
        <v>327.56016213156857</v>
      </c>
      <c r="G24">
        <f t="shared" ref="G24" si="151">IF(F24=0,0,ABS(E24/F24))</f>
        <v>0.32805495412052649</v>
      </c>
      <c r="H24">
        <f t="shared" ref="H24" si="152">ABS((B24-C24)/B24)</f>
        <v>0.20541959649577438</v>
      </c>
      <c r="I24">
        <f t="shared" ref="I24" si="153">(B24-C24)^2</f>
        <v>273527.21414435562</v>
      </c>
    </row>
    <row r="25" spans="1:9" x14ac:dyDescent="0.45">
      <c r="A25">
        <v>24</v>
      </c>
      <c r="B25">
        <v>2322</v>
      </c>
      <c r="C25" s="1">
        <f t="shared" ref="C25" si="154">C24+G24*(B24-C24)</f>
        <v>2194.5738882314326</v>
      </c>
      <c r="D25" s="1">
        <f t="shared" ref="D25" si="155">B25-C25</f>
        <v>127.42611176856735</v>
      </c>
      <c r="E25">
        <f t="shared" ref="E25" si="156">gamma*(D24-E24)+E24</f>
        <v>168.73335257970538</v>
      </c>
      <c r="F25">
        <f t="shared" ref="F25" si="157">gamma*(ABS(D24)-F24)+F24</f>
        <v>356.37947254521754</v>
      </c>
      <c r="G25">
        <f t="shared" ref="G25" si="158">IF(F25=0,0,ABS(E25/F25))</f>
        <v>0.47346540858437475</v>
      </c>
      <c r="H25">
        <f t="shared" ref="H25" si="159">ABS((B25-C25)/B25)</f>
        <v>5.4877739779744771E-2</v>
      </c>
      <c r="I25">
        <f t="shared" ref="I25" si="160">(B25-C25)^2</f>
        <v>16237.413960455418</v>
      </c>
    </row>
    <row r="26" spans="1:9" x14ac:dyDescent="0.45">
      <c r="A26">
        <v>25</v>
      </c>
      <c r="B26">
        <v>2296</v>
      </c>
      <c r="C26" s="1">
        <f t="shared" ref="C26" si="161">C25+G25*(B25-C25)</f>
        <v>2254.9057443042557</v>
      </c>
      <c r="D26" s="1">
        <f t="shared" ref="D26" si="162">B26-C26</f>
        <v>41.094255695744323</v>
      </c>
      <c r="E26">
        <f t="shared" ref="E26" si="163">gamma*(D25-E25)+E25</f>
        <v>162.64218607121668</v>
      </c>
      <c r="F26">
        <f t="shared" ref="F26" si="164">gamma*(ABS(D25)-F25)+F25</f>
        <v>322.61800565022651</v>
      </c>
      <c r="G26">
        <f t="shared" ref="G26" si="165">IF(F26=0,0,ABS(E26/F26))</f>
        <v>0.50413238945983951</v>
      </c>
      <c r="H26">
        <f t="shared" ref="H26" si="166">ABS((B26-C26)/B26)</f>
        <v>1.7898194989435682E-2</v>
      </c>
      <c r="I26">
        <f t="shared" ref="I26" si="167">(B26-C26)^2</f>
        <v>1688.7378511872148</v>
      </c>
    </row>
    <row r="27" spans="1:9" x14ac:dyDescent="0.45">
      <c r="A27">
        <v>26</v>
      </c>
      <c r="B27">
        <v>2633</v>
      </c>
      <c r="C27" s="1">
        <f t="shared" ref="C27" si="168">C26+G26*(B26-C26)</f>
        <v>2275.6226896212247</v>
      </c>
      <c r="D27" s="1">
        <f t="shared" ref="D27" si="169">B27-C27</f>
        <v>357.37731037877529</v>
      </c>
      <c r="E27">
        <f t="shared" ref="E27" si="170">gamma*(D26-E26)+E26</f>
        <v>144.7187259673513</v>
      </c>
      <c r="F27">
        <f t="shared" ref="F27" si="171">gamma*(ABS(D26)-F26)+F26</f>
        <v>281.10450817632824</v>
      </c>
      <c r="G27">
        <f t="shared" ref="G27" si="172">IF(F27=0,0,ABS(E27/F27))</f>
        <v>0.51482178961204594</v>
      </c>
      <c r="H27">
        <f t="shared" ref="H27" si="173">ABS((B27-C27)/B27)</f>
        <v>0.13573008369873729</v>
      </c>
      <c r="I27">
        <f t="shared" ref="I27" si="174">(B27-C27)^2</f>
        <v>127718.5419735675</v>
      </c>
    </row>
    <row r="28" spans="1:9" x14ac:dyDescent="0.45">
      <c r="A28">
        <v>27</v>
      </c>
      <c r="B28">
        <v>2574</v>
      </c>
      <c r="C28" s="1">
        <f t="shared" ref="C28" si="175">C27+G27*(B27-C27)</f>
        <v>2459.6083161171655</v>
      </c>
      <c r="D28" s="1">
        <f t="shared" ref="D28" si="176">B28-C28</f>
        <v>114.39168388283451</v>
      </c>
      <c r="E28">
        <f t="shared" ref="E28" si="177">gamma*(D27-E27)+E27</f>
        <v>176.07736483243394</v>
      </c>
      <c r="F28">
        <f t="shared" ref="F28" si="178">gamma*(ABS(D27)-F27)+F27</f>
        <v>292.35169702654201</v>
      </c>
      <c r="G28">
        <f t="shared" ref="G28" si="179">IF(F28=0,0,ABS(E28/F28))</f>
        <v>0.6022792637199853</v>
      </c>
      <c r="H28">
        <f t="shared" ref="H28" si="180">ABS((B28-C28)/B28)</f>
        <v>4.4441213629694838E-2</v>
      </c>
      <c r="I28">
        <f t="shared" ref="I28" si="181">(B28-C28)^2</f>
        <v>13085.457341550342</v>
      </c>
    </row>
    <row r="29" spans="1:9" x14ac:dyDescent="0.45">
      <c r="A29">
        <v>28</v>
      </c>
      <c r="B29">
        <v>2646</v>
      </c>
      <c r="C29" s="1">
        <f t="shared" ref="C29" si="182">C28+G28*(B28-C28)</f>
        <v>2528.5040552618084</v>
      </c>
      <c r="D29" s="1">
        <f t="shared" ref="D29" si="183">B29-C29</f>
        <v>117.49594473819161</v>
      </c>
      <c r="E29">
        <f t="shared" ref="E29" si="184">gamma*(D28-E28)+E28</f>
        <v>166.98119315707464</v>
      </c>
      <c r="F29">
        <f t="shared" ref="F29" si="185">gamma*(ABS(D28)-F28)+F28</f>
        <v>266.1097101345278</v>
      </c>
      <c r="G29">
        <f t="shared" ref="G29" si="186">IF(F29=0,0,ABS(E29/F29))</f>
        <v>0.62749004188031987</v>
      </c>
      <c r="H29">
        <f t="shared" ref="H29" si="187">ABS((B29-C29)/B29)</f>
        <v>4.4405118948674077E-2</v>
      </c>
      <c r="I29">
        <f t="shared" ref="I29" si="188">(B29-C29)^2</f>
        <v>13805.297029920177</v>
      </c>
    </row>
    <row r="30" spans="1:9" x14ac:dyDescent="0.45">
      <c r="A30">
        <v>29</v>
      </c>
      <c r="B30">
        <v>2015</v>
      </c>
      <c r="C30" s="1">
        <f t="shared" ref="C30" si="189">C29+G29*(B29-C29)</f>
        <v>2602.2315905463438</v>
      </c>
      <c r="D30" s="1">
        <f t="shared" ref="D30" si="190">B30-C30</f>
        <v>-587.2315905463438</v>
      </c>
      <c r="E30">
        <f t="shared" ref="E30" si="191">gamma*(D29-E29)+E29</f>
        <v>159.68409749262474</v>
      </c>
      <c r="F30">
        <f t="shared" ref="F30" si="192">gamma*(ABS(D29)-F29)+F29</f>
        <v>244.19512148840178</v>
      </c>
      <c r="G30">
        <f t="shared" ref="G30" si="193">IF(F30=0,0,ABS(E30/F30))</f>
        <v>0.653920096844396</v>
      </c>
      <c r="H30">
        <f t="shared" ref="H30" si="194">ABS((B30-C30)/B30)</f>
        <v>0.29143006975004654</v>
      </c>
      <c r="I30">
        <f t="shared" ref="I30" si="195">(B30-C30)^2</f>
        <v>344840.94093558879</v>
      </c>
    </row>
    <row r="31" spans="1:9" x14ac:dyDescent="0.45">
      <c r="A31">
        <v>30</v>
      </c>
      <c r="B31">
        <v>1998</v>
      </c>
      <c r="C31" s="1">
        <f t="shared" ref="C31" si="196">C30+G30*(B30-C30)</f>
        <v>2218.2290519861899</v>
      </c>
      <c r="D31" s="1">
        <f t="shared" ref="D31" si="197">B31-C31</f>
        <v>-220.22905198618992</v>
      </c>
      <c r="E31">
        <f t="shared" ref="E31" si="198">gamma*(D30-E30)+E30</f>
        <v>49.543896057988917</v>
      </c>
      <c r="F31">
        <f t="shared" ref="F31" si="199">gamma*(ABS(D30)-F30)+F30</f>
        <v>294.77928568056797</v>
      </c>
      <c r="G31">
        <f t="shared" ref="G31" si="200">IF(F31=0,0,ABS(E31/F31))</f>
        <v>0.1680711585402111</v>
      </c>
      <c r="H31">
        <f t="shared" ref="H31" si="201">ABS((B31-C31)/B31)</f>
        <v>0.11022475074383879</v>
      </c>
      <c r="I31">
        <f t="shared" ref="I31" si="202">(B31-C31)^2</f>
        <v>48500.835338735938</v>
      </c>
    </row>
    <row r="32" spans="1:9" x14ac:dyDescent="0.45">
      <c r="A32">
        <v>31</v>
      </c>
      <c r="B32">
        <v>2976</v>
      </c>
      <c r="C32" s="1">
        <f t="shared" ref="C32" si="203">C31+G31*(B31-C31)</f>
        <v>2181.2149000746585</v>
      </c>
      <c r="D32" s="1">
        <f t="shared" ref="D32" si="204">B32-C32</f>
        <v>794.78509992534146</v>
      </c>
      <c r="E32">
        <f t="shared" ref="E32" si="205">gamma*(D31-E31)+E31</f>
        <v>9.7631720552401475</v>
      </c>
      <c r="F32">
        <f t="shared" ref="F32" si="206">gamma*(ABS(D31)-F31)+F31</f>
        <v>283.78610681501766</v>
      </c>
      <c r="G32">
        <f t="shared" ref="G32" si="207">IF(F32=0,0,ABS(E32/F32))</f>
        <v>3.4403277048386818E-2</v>
      </c>
      <c r="H32">
        <f t="shared" ref="H32" si="208">ABS((B32-C32)/B32)</f>
        <v>0.26706488572760129</v>
      </c>
      <c r="I32">
        <f t="shared" ref="I32" si="209">(B32-C32)^2</f>
        <v>631683.35506333504</v>
      </c>
    </row>
    <row r="33" spans="1:9" x14ac:dyDescent="0.45">
      <c r="A33">
        <v>32</v>
      </c>
      <c r="B33">
        <v>1867</v>
      </c>
      <c r="C33" s="1">
        <f t="shared" ref="C33" si="210">C32+G32*(B32-C32)</f>
        <v>2208.5581120613197</v>
      </c>
      <c r="D33" s="1">
        <f t="shared" ref="D33" si="211">B33-C33</f>
        <v>-341.55811206131966</v>
      </c>
      <c r="E33">
        <f t="shared" ref="E33" si="212">gamma*(D32-E32)+E32</f>
        <v>125.52252033352688</v>
      </c>
      <c r="F33">
        <f t="shared" ref="F33" si="213">gamma*(ABS(D32)-F32)+F32</f>
        <v>359.13802796937796</v>
      </c>
      <c r="G33">
        <f t="shared" ref="G33" si="214">IF(F33=0,0,ABS(E33/F33))</f>
        <v>0.34951052397110566</v>
      </c>
      <c r="H33">
        <f t="shared" ref="H33" si="215">ABS((B33-C33)/B33)</f>
        <v>0.18294489130226013</v>
      </c>
      <c r="I33">
        <f t="shared" ref="I33" si="216">(B33-C33)^2</f>
        <v>116661.943914893</v>
      </c>
    </row>
    <row r="34" spans="1:9" x14ac:dyDescent="0.45">
      <c r="A34">
        <v>33</v>
      </c>
      <c r="B34">
        <v>1846</v>
      </c>
      <c r="C34" s="1">
        <f t="shared" ref="C34" si="217">C33+G33*(B33-C33)</f>
        <v>2089.1799573481862</v>
      </c>
      <c r="D34" s="1">
        <f t="shared" ref="D34" si="218">B34-C34</f>
        <v>-243.17995734818624</v>
      </c>
      <c r="E34">
        <f t="shared" ref="E34" si="219">gamma*(D33-E33)+E33</f>
        <v>56.646801477958405</v>
      </c>
      <c r="F34">
        <f t="shared" ref="F34" si="220">gamma*(ABS(D33)-F33)+F33</f>
        <v>356.54569323826371</v>
      </c>
      <c r="G34">
        <f t="shared" ref="G34" si="221">IF(F34=0,0,ABS(E34/F34))</f>
        <v>0.15887669533594354</v>
      </c>
      <c r="H34">
        <f t="shared" ref="H34" si="222">ABS((B34-C34)/B34)</f>
        <v>0.13173345468482461</v>
      </c>
      <c r="I34">
        <f t="shared" ref="I34" si="223">(B34-C34)^2</f>
        <v>59136.491655865677</v>
      </c>
    </row>
    <row r="35" spans="1:9" x14ac:dyDescent="0.45">
      <c r="A35">
        <v>34</v>
      </c>
      <c r="B35">
        <v>2765</v>
      </c>
      <c r="C35" s="1">
        <f t="shared" ref="C35" si="224">C34+G34*(B34-C34)</f>
        <v>2050.5443293527705</v>
      </c>
      <c r="D35" s="1">
        <f t="shared" ref="D35" si="225">B35-C35</f>
        <v>714.45567064722945</v>
      </c>
      <c r="E35">
        <f t="shared" ref="E35" si="226">gamma*(D34-E34)+E34</f>
        <v>12.434341970905372</v>
      </c>
      <c r="F35">
        <f t="shared" ref="F35" si="227">gamma*(ABS(D34)-F34)+F34</f>
        <v>339.82877968741667</v>
      </c>
      <c r="G35">
        <f t="shared" ref="G35" si="228">IF(F35=0,0,ABS(E35/F35))</f>
        <v>3.6590020369501375E-2</v>
      </c>
      <c r="H35">
        <f t="shared" ref="H35" si="229">ABS((B35-C35)/B35)</f>
        <v>0.25839264761201791</v>
      </c>
      <c r="I35">
        <f t="shared" ref="I35" si="230">(B35-C35)^2</f>
        <v>510446.90531998238</v>
      </c>
    </row>
    <row r="36" spans="1:9" x14ac:dyDescent="0.45">
      <c r="A36">
        <v>35</v>
      </c>
      <c r="B36">
        <v>2088</v>
      </c>
      <c r="C36" s="1">
        <f t="shared" ref="C36" si="231">C35+G35*(B35-C35)</f>
        <v>2076.6862768948586</v>
      </c>
      <c r="D36" s="1">
        <f t="shared" ref="D36" si="232">B36-C36</f>
        <v>11.313723105141435</v>
      </c>
      <c r="E36">
        <f t="shared" ref="E36" si="233">gamma*(D35-E35)+E35</f>
        <v>115.95442032784436</v>
      </c>
      <c r="F36">
        <f t="shared" ref="F36" si="234">gamma*(ABS(D35)-F35)+F35</f>
        <v>395.07126808858732</v>
      </c>
      <c r="G36">
        <f t="shared" ref="G36" si="235">IF(F36=0,0,ABS(E36/F36))</f>
        <v>0.2935025391465414</v>
      </c>
      <c r="H36">
        <f t="shared" ref="H36" si="236">ABS((B36-C36)/B36)</f>
        <v>5.4184497629987715E-3</v>
      </c>
      <c r="I36">
        <f t="shared" ref="I36" si="237">(B36-C36)^2</f>
        <v>128.00033049981116</v>
      </c>
    </row>
    <row r="37" spans="1:9" x14ac:dyDescent="0.45">
      <c r="A37">
        <v>36</v>
      </c>
      <c r="B37">
        <v>2554</v>
      </c>
      <c r="C37" s="1">
        <f t="shared" ref="C37" si="238">C36+G36*(B36-C36)</f>
        <v>2080.0068833534183</v>
      </c>
      <c r="D37" s="1">
        <f t="shared" ref="D37" si="239">B37-C37</f>
        <v>473.99311664658171</v>
      </c>
      <c r="E37">
        <f t="shared" ref="E37" si="240">gamma*(D36-E36)+E36</f>
        <v>100.52410114332089</v>
      </c>
      <c r="F37">
        <f t="shared" ref="F37" si="241">gamma*(ABS(D36)-F36)+F36</f>
        <v>338.48237327301496</v>
      </c>
      <c r="G37">
        <f t="shared" ref="G37" si="242">IF(F37=0,0,ABS(E37/F37))</f>
        <v>0.29698474449728468</v>
      </c>
      <c r="H37">
        <f t="shared" ref="H37" si="243">ABS((B37-C37)/B37)</f>
        <v>0.18558853431737735</v>
      </c>
      <c r="I37">
        <f t="shared" ref="I37" si="244">(B37-C37)^2</f>
        <v>224669.47462834002</v>
      </c>
    </row>
    <row r="38" spans="1:9" x14ac:dyDescent="0.45">
      <c r="A38">
        <v>37</v>
      </c>
      <c r="B38">
        <v>1980</v>
      </c>
      <c r="C38" s="1">
        <f t="shared" ref="C38" si="245">C37+G37*(B37-C37)</f>
        <v>2220.7756079941751</v>
      </c>
      <c r="D38" s="1">
        <f t="shared" ref="D38" si="246">B38-C38</f>
        <v>-240.77560799417506</v>
      </c>
      <c r="E38">
        <f t="shared" ref="E38" si="247">gamma*(D37-E37)+E37</f>
        <v>155.59584920784704</v>
      </c>
      <c r="F38">
        <f t="shared" ref="F38" si="248">gamma*(ABS(D37)-F37)+F37</f>
        <v>358.4647900447232</v>
      </c>
      <c r="G38">
        <f t="shared" ref="G38" si="249">IF(F38=0,0,ABS(E38/F38))</f>
        <v>0.43406173640773593</v>
      </c>
      <c r="H38">
        <f t="shared" ref="H38" si="250">ABS((B38-C38)/B38)</f>
        <v>0.12160384242130054</v>
      </c>
      <c r="I38">
        <f t="shared" ref="I38" si="251">(B38-C38)^2</f>
        <v>57972.893404964656</v>
      </c>
    </row>
    <row r="39" spans="1:9" x14ac:dyDescent="0.45">
      <c r="A39">
        <v>38</v>
      </c>
      <c r="B39">
        <v>2843</v>
      </c>
      <c r="C39" s="1">
        <f t="shared" ref="C39" si="252">C38+G38*(B38-C38)</f>
        <v>2116.2641295035951</v>
      </c>
      <c r="D39" s="1">
        <f t="shared" ref="D39" si="253">B39-C39</f>
        <v>726.73587049640491</v>
      </c>
      <c r="E39">
        <f t="shared" ref="E39" si="254">gamma*(D38-E38)+E38</f>
        <v>97.146906658801015</v>
      </c>
      <c r="F39">
        <f t="shared" ref="F39" si="255">gamma*(ABS(D38)-F38)+F38</f>
        <v>341.11034104157329</v>
      </c>
      <c r="G39">
        <f t="shared" ref="G39" si="256">IF(F39=0,0,ABS(E39/F39))</f>
        <v>0.28479613477024757</v>
      </c>
      <c r="H39">
        <f t="shared" ref="H39" si="257">ABS((B39-C39)/B39)</f>
        <v>0.25562288796918919</v>
      </c>
      <c r="I39">
        <f t="shared" ref="I39" si="258">(B39-C39)^2</f>
        <v>528145.02546616737</v>
      </c>
    </row>
    <row r="40" spans="1:9" x14ac:dyDescent="0.45">
      <c r="A40">
        <v>39</v>
      </c>
      <c r="B40">
        <v>2328</v>
      </c>
      <c r="C40" s="1">
        <f t="shared" ref="C40" si="259">C39+G39*(B39-C39)</f>
        <v>2323.2356964198625</v>
      </c>
      <c r="D40" s="1">
        <f t="shared" ref="D40" si="260">B40-C40</f>
        <v>4.7643035801374936</v>
      </c>
      <c r="E40">
        <f t="shared" ref="E40" si="261">gamma*(D39-E39)+E39</f>
        <v>189.98610713155844</v>
      </c>
      <c r="F40">
        <f t="shared" ref="F40" si="262">gamma*(ABS(D39)-F39)+F39</f>
        <v>397.97468888250035</v>
      </c>
      <c r="G40">
        <f t="shared" ref="G40" si="263">IF(F40=0,0,ABS(E40/F40))</f>
        <v>0.47738238747050243</v>
      </c>
      <c r="H40">
        <f t="shared" ref="H40" si="264">ABS((B40-C40)/B40)</f>
        <v>2.0465221564164491E-3</v>
      </c>
      <c r="I40">
        <f t="shared" ref="I40" si="265">(B40-C40)^2</f>
        <v>22.698588603710938</v>
      </c>
    </row>
    <row r="41" spans="1:9" x14ac:dyDescent="0.45">
      <c r="A41">
        <v>40</v>
      </c>
      <c r="B41">
        <v>2404</v>
      </c>
      <c r="C41" s="1">
        <f t="shared" ref="C41" si="266">C40+G40*(B40-C40)</f>
        <v>2325.5100910375827</v>
      </c>
      <c r="D41" s="1">
        <f t="shared" ref="D41" si="267">B41-C41</f>
        <v>78.489908962417303</v>
      </c>
      <c r="E41">
        <f t="shared" ref="E41" si="268">gamma*(D40-E40)+E40</f>
        <v>162.67329648916675</v>
      </c>
      <c r="F41">
        <f t="shared" ref="F41" si="269">gamma*(ABS(D40)-F40)+F40</f>
        <v>339.99187805535178</v>
      </c>
      <c r="G41">
        <f t="shared" ref="G41" si="270">IF(F41=0,0,ABS(E41/F41))</f>
        <v>0.47846230156910691</v>
      </c>
      <c r="H41">
        <f t="shared" ref="H41" si="271">ABS((B41-C41)/B41)</f>
        <v>3.2649712546762605E-2</v>
      </c>
      <c r="I41">
        <f t="shared" ref="I41" si="272">(B41-C41)^2</f>
        <v>6160.6658089285556</v>
      </c>
    </row>
    <row r="42" spans="1:9" x14ac:dyDescent="0.45">
      <c r="A42">
        <v>41</v>
      </c>
      <c r="B42">
        <v>1614</v>
      </c>
      <c r="C42" s="1">
        <f t="shared" ref="C42" si="273">C41+G41*(B41-C41)</f>
        <v>2363.0645535296903</v>
      </c>
      <c r="D42" s="1">
        <f t="shared" ref="D42" si="274">B42-C42</f>
        <v>-749.06455352969033</v>
      </c>
      <c r="E42">
        <f t="shared" ref="E42" si="275">gamma*(D41-E41)+E41</f>
        <v>150.25961257794805</v>
      </c>
      <c r="F42">
        <f t="shared" ref="F42" si="276">gamma*(ABS(D41)-F41)+F41</f>
        <v>301.43079276462879</v>
      </c>
      <c r="G42">
        <f t="shared" ref="G42" si="277">IF(F42=0,0,ABS(E42/F42))</f>
        <v>0.49848793217114268</v>
      </c>
      <c r="H42">
        <f t="shared" ref="H42" si="278">ABS((B42-C42)/B42)</f>
        <v>0.46410443217452935</v>
      </c>
      <c r="I42">
        <f t="shared" ref="I42" si="279">(B42-C42)^2</f>
        <v>561097.70535463432</v>
      </c>
    </row>
    <row r="43" spans="1:9" x14ac:dyDescent="0.45">
      <c r="A43">
        <v>42</v>
      </c>
      <c r="B43">
        <v>1851</v>
      </c>
      <c r="C43" s="1">
        <f t="shared" ref="C43" si="280">C42+G42*(B42-C42)</f>
        <v>1989.6649131779748</v>
      </c>
      <c r="D43" s="1">
        <f t="shared" ref="D43" si="281">B43-C43</f>
        <v>-138.66491317797477</v>
      </c>
      <c r="E43">
        <f t="shared" ref="E43" si="282">gamma*(D42-E42)+E42</f>
        <v>17.645254095008539</v>
      </c>
      <c r="F43">
        <f t="shared" ref="F43" si="283">gamma*(ABS(D42)-F42)+F42</f>
        <v>367.43887556317247</v>
      </c>
      <c r="G43">
        <f t="shared" ref="G43" si="284">IF(F43=0,0,ABS(E43/F43))</f>
        <v>4.8022284163491712E-2</v>
      </c>
      <c r="H43">
        <f t="shared" ref="H43" si="285">ABS((B43-C43)/B43)</f>
        <v>7.4913513332239209E-2</v>
      </c>
      <c r="I43">
        <f t="shared" ref="I43" si="286">(B43-C43)^2</f>
        <v>19227.958146655281</v>
      </c>
    </row>
    <row r="44" spans="1:9" x14ac:dyDescent="0.45">
      <c r="A44">
        <v>43</v>
      </c>
      <c r="B44">
        <v>1648</v>
      </c>
      <c r="C44" s="1">
        <f t="shared" ref="C44" si="287">C43+G43*(B43-C43)</f>
        <v>1983.0059073138361</v>
      </c>
      <c r="D44" s="1">
        <f t="shared" ref="D44" si="288">B44-C44</f>
        <v>-335.00590731383613</v>
      </c>
      <c r="E44">
        <f t="shared" ref="E44" si="289">gamma*(D43-E43)+E43</f>
        <v>-5.4042461168946261</v>
      </c>
      <c r="F44">
        <f t="shared" ref="F44" si="290">gamma*(ABS(D43)-F43)+F43</f>
        <v>333.70386275836597</v>
      </c>
      <c r="G44">
        <f t="shared" ref="G44" si="291">IF(F44=0,0,ABS(E44/F44))</f>
        <v>1.6194736471503855E-2</v>
      </c>
      <c r="H44">
        <f t="shared" ref="H44" si="292">ABS((B44-C44)/B44)</f>
        <v>0.20328028356422095</v>
      </c>
      <c r="I44">
        <f t="shared" ref="I44" si="293">(B44-C44)^2</f>
        <v>112228.95793516656</v>
      </c>
    </row>
    <row r="45" spans="1:9" x14ac:dyDescent="0.45">
      <c r="A45">
        <v>44</v>
      </c>
      <c r="B45">
        <v>1637</v>
      </c>
      <c r="C45" s="1">
        <f t="shared" ref="C45" si="294">C44+G44*(B44-C44)</f>
        <v>1977.5805749284916</v>
      </c>
      <c r="D45" s="1">
        <f t="shared" ref="D45" si="295">B45-C45</f>
        <v>-340.58057492849161</v>
      </c>
      <c r="E45">
        <f t="shared" ref="E45" si="296">gamma*(D44-E44)+E44</f>
        <v>-54.007313288684628</v>
      </c>
      <c r="F45">
        <f t="shared" ref="F45" si="297">gamma*(ABS(D44)-F44)+F44</f>
        <v>333.89586227305398</v>
      </c>
      <c r="G45">
        <f t="shared" ref="G45" si="298">IF(F45=0,0,ABS(E45/F45))</f>
        <v>0.16174897442879488</v>
      </c>
      <c r="H45">
        <f t="shared" ref="H45" si="299">ABS((B45-C45)/B45)</f>
        <v>0.20805166458673893</v>
      </c>
      <c r="I45">
        <f t="shared" ref="I45" si="300">(B45-C45)^2</f>
        <v>115995.12801862189</v>
      </c>
    </row>
    <row r="46" spans="1:9" x14ac:dyDescent="0.45">
      <c r="A46">
        <v>45</v>
      </c>
      <c r="B46">
        <v>2211</v>
      </c>
      <c r="C46" s="1">
        <f t="shared" ref="C46" si="301">C45+G45*(B45-C45)</f>
        <v>1922.4920162234387</v>
      </c>
      <c r="D46" s="1">
        <f t="shared" ref="D46" si="302">B46-C46</f>
        <v>288.50798377656133</v>
      </c>
      <c r="E46">
        <f t="shared" ref="E46" si="303">gamma*(D45-E45)+E45</f>
        <v>-96.265411850864254</v>
      </c>
      <c r="F46">
        <f t="shared" ref="F46" si="304">gamma*(ABS(D45)-F45)+F45</f>
        <v>334.88159012720524</v>
      </c>
      <c r="G46">
        <f t="shared" ref="G46" si="305">IF(F46=0,0,ABS(E46/F46))</f>
        <v>0.28746104500488578</v>
      </c>
      <c r="H46">
        <f t="shared" ref="H46" si="306">ABS((B46-C46)/B46)</f>
        <v>0.13048755485145244</v>
      </c>
      <c r="I46">
        <f t="shared" ref="I46" si="307">(B46-C46)^2</f>
        <v>83236.856702816571</v>
      </c>
    </row>
    <row r="47" spans="1:9" x14ac:dyDescent="0.45">
      <c r="A47">
        <v>46</v>
      </c>
      <c r="B47">
        <v>1754</v>
      </c>
      <c r="C47" s="1">
        <f t="shared" ref="C47" si="308">C46+G46*(B46-C46)</f>
        <v>2005.4268227321015</v>
      </c>
      <c r="D47" s="1">
        <f t="shared" ref="D47" si="309">B47-C47</f>
        <v>-251.42682273210153</v>
      </c>
      <c r="E47">
        <f t="shared" ref="E47" si="310">gamma*(D46-E46)+E46</f>
        <v>-39.52671968018587</v>
      </c>
      <c r="F47">
        <f t="shared" ref="F47" si="311">gamma*(ABS(D46)-F46)+F46</f>
        <v>328.04333726078005</v>
      </c>
      <c r="G47">
        <f t="shared" ref="G47" si="312">IF(F47=0,0,ABS(E47/F47))</f>
        <v>0.12049237155749291</v>
      </c>
      <c r="H47">
        <f t="shared" ref="H47" si="313">ABS((B47-C47)/B47)</f>
        <v>0.14334482481875799</v>
      </c>
      <c r="I47">
        <f t="shared" ref="I47" si="314">(B47-C47)^2</f>
        <v>63215.447189159604</v>
      </c>
    </row>
    <row r="48" spans="1:9" x14ac:dyDescent="0.45">
      <c r="A48">
        <v>47</v>
      </c>
      <c r="B48">
        <v>1600</v>
      </c>
      <c r="C48" s="1">
        <f t="shared" ref="C48" si="315">C47+G47*(B47-C47)</f>
        <v>1975.1318085879452</v>
      </c>
      <c r="D48" s="1">
        <f t="shared" ref="D48" si="316">B48-C48</f>
        <v>-375.13180858794522</v>
      </c>
      <c r="E48">
        <f t="shared" ref="E48" si="317">gamma*(D47-E47)+E47</f>
        <v>-70.773512869701051</v>
      </c>
      <c r="F48">
        <f t="shared" ref="F48" si="318">gamma*(ABS(D47)-F47)+F47</f>
        <v>316.74546458446252</v>
      </c>
      <c r="G48">
        <f t="shared" ref="G48" si="319">IF(F48=0,0,ABS(E48/F48))</f>
        <v>0.22343970406189911</v>
      </c>
      <c r="H48">
        <f t="shared" ref="H48" si="320">ABS((B48-C48)/B48)</f>
        <v>0.23445738036746577</v>
      </c>
      <c r="I48">
        <f t="shared" ref="I48" si="321">(B48-C48)^2</f>
        <v>140723.87381446277</v>
      </c>
    </row>
    <row r="49" spans="1:9" x14ac:dyDescent="0.45">
      <c r="A49">
        <v>48</v>
      </c>
      <c r="B49">
        <v>2002</v>
      </c>
      <c r="C49" s="1">
        <f t="shared" ref="C49" si="322">C48+G48*(B48-C48)</f>
        <v>1891.3124682928496</v>
      </c>
      <c r="D49" s="1">
        <f t="shared" ref="D49" si="323">B49-C49</f>
        <v>110.68753170715036</v>
      </c>
      <c r="E49">
        <f t="shared" ref="E49" si="324">gamma*(D48-E48)+E48</f>
        <v>-115.65419289226463</v>
      </c>
      <c r="F49">
        <f t="shared" ref="F49" si="325">gamma*(ABS(D48)-F48)+F48</f>
        <v>325.35511597156795</v>
      </c>
      <c r="G49">
        <f t="shared" ref="G49" si="326">IF(F49=0,0,ABS(E49/F49))</f>
        <v>0.3554706448887418</v>
      </c>
      <c r="H49">
        <f t="shared" ref="H49" si="327">ABS((B49-C49)/B49)</f>
        <v>5.5288477376198977E-2</v>
      </c>
      <c r="I49">
        <f t="shared" ref="I49" si="328">(B49-C49)^2</f>
        <v>12251.729675421415</v>
      </c>
    </row>
    <row r="50" spans="1:9" x14ac:dyDescent="0.45">
      <c r="A50">
        <v>49</v>
      </c>
      <c r="B50">
        <v>1813</v>
      </c>
      <c r="C50" s="1">
        <f t="shared" ref="C50" si="329">C49+G49*(B49-C49)</f>
        <v>1930.6586365699334</v>
      </c>
      <c r="D50" s="1">
        <f t="shared" ref="D50" si="330">B50-C50</f>
        <v>-117.65863656993338</v>
      </c>
      <c r="E50">
        <f t="shared" ref="E50" si="331">gamma*(D49-E49)+E49</f>
        <v>-82.277837917187696</v>
      </c>
      <c r="F50">
        <f t="shared" ref="F50" si="332">gamma*(ABS(D49)-F49)+F49</f>
        <v>293.70022995030115</v>
      </c>
      <c r="G50">
        <f t="shared" ref="G50" si="333">IF(F50=0,0,ABS(E50/F50))</f>
        <v>0.28014223186379678</v>
      </c>
      <c r="H50">
        <f t="shared" ref="H50" si="334">ABS((B50-C50)/B50)</f>
        <v>6.4897207153851832E-2</v>
      </c>
      <c r="I50">
        <f t="shared" ref="I50" si="335">(B50-C50)^2</f>
        <v>13843.554759495664</v>
      </c>
    </row>
    <row r="51" spans="1:9" x14ac:dyDescent="0.45">
      <c r="A51">
        <v>50</v>
      </c>
      <c r="B51">
        <v>2025</v>
      </c>
      <c r="C51" s="1">
        <f t="shared" ref="C51" si="336">C50+G50*(B50-C50)</f>
        <v>1897.6974835231808</v>
      </c>
      <c r="D51" s="1">
        <f t="shared" ref="D51" si="337">B51-C51</f>
        <v>127.30251647681916</v>
      </c>
      <c r="E51">
        <f t="shared" ref="E51" si="338">gamma*(D50-E50)+E50</f>
        <v>-87.495091153309829</v>
      </c>
      <c r="F51">
        <f t="shared" ref="F51" si="339">gamma*(ABS(D50)-F50)+F50</f>
        <v>267.74113327274364</v>
      </c>
      <c r="G51">
        <f t="shared" ref="G51" si="340">IF(F51=0,0,ABS(E51/F51))</f>
        <v>0.32678987380015295</v>
      </c>
      <c r="H51">
        <f t="shared" ref="H51" si="341">ABS((B51-C51)/B51)</f>
        <v>6.2865440235466252E-2</v>
      </c>
      <c r="I51">
        <f t="shared" ref="I51" si="342">(B51-C51)^2</f>
        <v>16205.930701330815</v>
      </c>
    </row>
    <row r="52" spans="1:9" x14ac:dyDescent="0.45">
      <c r="A52">
        <v>51</v>
      </c>
      <c r="B52">
        <v>1508</v>
      </c>
      <c r="C52" s="1">
        <f t="shared" ref="C52" si="343">C51+G51*(B51-C51)</f>
        <v>1939.2986568170825</v>
      </c>
      <c r="D52" s="1">
        <f t="shared" ref="D52" si="344">B52-C52</f>
        <v>-431.29865681708247</v>
      </c>
      <c r="E52">
        <f t="shared" ref="E52" si="345">gamma*(D51-E51)+E51</f>
        <v>-55.821031884084803</v>
      </c>
      <c r="F52">
        <f t="shared" ref="F52" si="346">gamma*(ABS(D51)-F51)+F51</f>
        <v>247.03205219330357</v>
      </c>
      <c r="G52">
        <f t="shared" ref="G52" si="347">IF(F52=0,0,ABS(E52/F52))</f>
        <v>0.22596675770804278</v>
      </c>
      <c r="H52">
        <f t="shared" ref="H52" si="348">ABS((B52-C52)/B52)</f>
        <v>0.28600706685482924</v>
      </c>
      <c r="I52">
        <f t="shared" ref="I52" si="349">(B52-C52)^2</f>
        <v>186018.53137221947</v>
      </c>
    </row>
    <row r="53" spans="1:9" x14ac:dyDescent="0.45">
      <c r="A53">
        <v>52</v>
      </c>
      <c r="B53">
        <v>1694</v>
      </c>
      <c r="C53" s="1">
        <f t="shared" ref="C53" si="350">C52+G52*(B52-C52)</f>
        <v>1841.8394977322926</v>
      </c>
      <c r="D53" s="1">
        <f t="shared" ref="D53" si="351">B53-C53</f>
        <v>-147.83949773229256</v>
      </c>
      <c r="E53">
        <f t="shared" ref="E53" si="352">gamma*(D52-E52)+E52</f>
        <v>-111.1889695329743</v>
      </c>
      <c r="F53">
        <f t="shared" ref="F53" si="353">gamma*(ABS(D52)-F52)+F52</f>
        <v>274.20400918382342</v>
      </c>
      <c r="G53">
        <f t="shared" ref="G53" si="354">IF(F53=0,0,ABS(E53/F53))</f>
        <v>0.40549724223191214</v>
      </c>
      <c r="H53">
        <f t="shared" ref="H53" si="355">ABS((B53-C53)/B53)</f>
        <v>8.7272430774670937E-2</v>
      </c>
      <c r="I53">
        <f t="shared" ref="I53" si="356">(B53-C53)^2</f>
        <v>21856.517089736535</v>
      </c>
    </row>
    <row r="54" spans="1:9" x14ac:dyDescent="0.45">
      <c r="A54">
        <v>53</v>
      </c>
      <c r="B54">
        <v>2007</v>
      </c>
      <c r="C54" s="1">
        <f t="shared" ref="C54" si="357">C53+G53*(B53-C53)</f>
        <v>1781.890989108897</v>
      </c>
      <c r="D54" s="1">
        <f t="shared" ref="D54" si="358">B54-C54</f>
        <v>225.10901089110303</v>
      </c>
      <c r="E54">
        <f t="shared" ref="E54" si="359">gamma*(D53-E53)+E53</f>
        <v>-116.59345711196342</v>
      </c>
      <c r="F54">
        <f t="shared" ref="F54" si="360">gamma*(ABS(D53)-F53)+F53</f>
        <v>255.57029594370891</v>
      </c>
      <c r="G54">
        <f t="shared" ref="G54" si="361">IF(F54=0,0,ABS(E54/F54))</f>
        <v>0.45620895292794089</v>
      </c>
      <c r="H54">
        <f t="shared" ref="H54" si="362">ABS((B54-C54)/B54)</f>
        <v>0.11216193866024067</v>
      </c>
      <c r="I54">
        <f t="shared" ref="I54" si="363">(B54-C54)^2</f>
        <v>50674.066784370742</v>
      </c>
    </row>
    <row r="55" spans="1:9" x14ac:dyDescent="0.45">
      <c r="A55">
        <v>54</v>
      </c>
      <c r="B55">
        <v>1643</v>
      </c>
      <c r="C55" s="1">
        <f t="shared" ref="C55" si="364">C54+G54*(B54-C54)</f>
        <v>1884.5877352621715</v>
      </c>
      <c r="D55" s="1">
        <f t="shared" ref="D55" si="365">B55-C55</f>
        <v>-241.58773526217146</v>
      </c>
      <c r="E55">
        <f t="shared" ref="E55" si="366">gamma*(D54-E54)+E54</f>
        <v>-66.206004740489846</v>
      </c>
      <c r="F55">
        <f t="shared" ref="F55" si="367">gamma*(ABS(D54)-F54)+F54</f>
        <v>251.07847427577678</v>
      </c>
      <c r="G55">
        <f t="shared" ref="G55" si="368">IF(F55=0,0,ABS(E55/F55))</f>
        <v>0.26368650252259868</v>
      </c>
      <c r="H55">
        <f t="shared" ref="H55" si="369">ABS((B55-C55)/B55)</f>
        <v>0.14704061793193637</v>
      </c>
      <c r="I55">
        <f t="shared" ref="I55" si="370">(B55-C55)^2</f>
        <v>58364.633829105049</v>
      </c>
    </row>
    <row r="56" spans="1:9" x14ac:dyDescent="0.45">
      <c r="A56">
        <v>55</v>
      </c>
      <c r="B56">
        <v>1917</v>
      </c>
      <c r="C56" s="1">
        <f t="shared" ref="C56" si="371">C55+G55*(B55-C55)</f>
        <v>1820.884310298534</v>
      </c>
      <c r="D56" s="1">
        <f t="shared" ref="D56" si="372">B56-C56</f>
        <v>96.115689701465953</v>
      </c>
      <c r="E56">
        <f t="shared" ref="E56" si="373">gamma*(D55-E55)+E55</f>
        <v>-92.067798028469667</v>
      </c>
      <c r="F56">
        <f t="shared" ref="F56" si="374">gamma*(ABS(D55)-F55)+F55</f>
        <v>249.6789697219676</v>
      </c>
      <c r="G56">
        <f t="shared" ref="G56" si="375">IF(F56=0,0,ABS(E56/F56))</f>
        <v>0.36874470497452244</v>
      </c>
      <c r="H56">
        <f t="shared" ref="H56" si="376">ABS((B56-C56)/B56)</f>
        <v>5.0138596610050053E-2</v>
      </c>
      <c r="I56">
        <f t="shared" ref="I56" si="377">(B56-C56)^2</f>
        <v>9238.2258067884886</v>
      </c>
    </row>
    <row r="57" spans="1:9" x14ac:dyDescent="0.45">
      <c r="A57">
        <v>56</v>
      </c>
      <c r="B57">
        <v>1722</v>
      </c>
      <c r="C57" s="1">
        <f t="shared" ref="C57" si="378">C56+G56*(B56-C56)</f>
        <v>1856.3264619409238</v>
      </c>
      <c r="D57" s="1">
        <f t="shared" ref="D57" si="379">B57-C57</f>
        <v>-134.32646194092376</v>
      </c>
      <c r="E57">
        <f t="shared" ref="E57" si="380">gamma*(D56-E56)+E56</f>
        <v>-64.318257381298167</v>
      </c>
      <c r="F57">
        <f t="shared" ref="F57" si="381">gamma*(ABS(D56)-F56)+F56</f>
        <v>227.03452555608337</v>
      </c>
      <c r="G57">
        <f t="shared" ref="G57" si="382">IF(F57=0,0,ABS(E57/F57))</f>
        <v>0.28329725280223911</v>
      </c>
      <c r="H57">
        <f t="shared" ref="H57" si="383">ABS((B57-C57)/B57)</f>
        <v>7.8006075459305324E-2</v>
      </c>
      <c r="I57">
        <f t="shared" ref="I57" si="384">(B57-C57)^2</f>
        <v>18043.598377566439</v>
      </c>
    </row>
    <row r="58" spans="1:9" x14ac:dyDescent="0.45">
      <c r="A58">
        <v>57</v>
      </c>
      <c r="B58">
        <v>1440</v>
      </c>
      <c r="C58" s="1">
        <f t="shared" ref="C58" si="385">C57+G57*(B57-C57)</f>
        <v>1818.2721442944155</v>
      </c>
      <c r="D58" s="1">
        <f t="shared" ref="D58" si="386">B58-C58</f>
        <v>-378.27214429441551</v>
      </c>
      <c r="E58">
        <f t="shared" ref="E58" si="387">gamma*(D57-E57)+E57</f>
        <v>-74.641668545038598</v>
      </c>
      <c r="F58">
        <f t="shared" ref="F58" si="388">gamma*(ABS(D57)-F57)+F57</f>
        <v>213.36379274821124</v>
      </c>
      <c r="G58">
        <f t="shared" ref="G58" si="389">IF(F58=0,0,ABS(E58/F58))</f>
        <v>0.34983287268952229</v>
      </c>
      <c r="H58">
        <f t="shared" ref="H58" si="390">ABS((B58-C58)/B58)</f>
        <v>0.26268898909334409</v>
      </c>
      <c r="I58">
        <f t="shared" ref="I58" si="391">(B58-C58)^2</f>
        <v>143089.81514909511</v>
      </c>
    </row>
    <row r="59" spans="1:9" x14ac:dyDescent="0.45">
      <c r="A59">
        <v>58</v>
      </c>
      <c r="B59">
        <v>1776</v>
      </c>
      <c r="C59" s="1">
        <f t="shared" ref="C59" si="392">C58+G58*(B58-C58)</f>
        <v>1685.9401133974748</v>
      </c>
      <c r="D59" s="1">
        <f t="shared" ref="D59" si="393">B59-C59</f>
        <v>90.059886602525239</v>
      </c>
      <c r="E59">
        <f t="shared" ref="E59" si="394">gamma*(D58-E58)+E58</f>
        <v>-119.4150242212765</v>
      </c>
      <c r="F59">
        <f t="shared" ref="F59" si="395">gamma*(ABS(D58)-F58)+F58</f>
        <v>237.68118137508537</v>
      </c>
      <c r="G59">
        <f t="shared" ref="G59" si="396">IF(F59=0,0,ABS(E59/F59))</f>
        <v>0.50241682379063612</v>
      </c>
      <c r="H59">
        <f t="shared" ref="H59" si="397">ABS((B59-C59)/B59)</f>
        <v>5.0709395609529979E-2</v>
      </c>
      <c r="I59">
        <f t="shared" ref="I59" si="398">(B59-C59)^2</f>
        <v>8110.7831748597055</v>
      </c>
    </row>
    <row r="60" spans="1:9" x14ac:dyDescent="0.45">
      <c r="A60">
        <v>59</v>
      </c>
      <c r="B60">
        <v>2243</v>
      </c>
      <c r="C60" s="1">
        <f t="shared" ref="C60" si="399">C59+G59*(B59-C59)</f>
        <v>1731.1877155752604</v>
      </c>
      <c r="D60" s="1">
        <f t="shared" ref="D60" si="400">B60-C60</f>
        <v>511.81228442473957</v>
      </c>
      <c r="E60">
        <f t="shared" ref="E60" si="401">gamma*(D59-E59)+E59</f>
        <v>-88.525849923424289</v>
      </c>
      <c r="F60">
        <f t="shared" ref="F60" si="402">gamma*(ABS(D59)-F59)+F59</f>
        <v>215.91294246584553</v>
      </c>
      <c r="G60">
        <f t="shared" ref="G60" si="403">IF(F60=0,0,ABS(E60/F60))</f>
        <v>0.41000714877213934</v>
      </c>
      <c r="H60">
        <f t="shared" ref="H60" si="404">ABS((B60-C60)/B60)</f>
        <v>0.22818202604758786</v>
      </c>
      <c r="I60">
        <f t="shared" ref="I60" si="405">(B60-C60)^2</f>
        <v>261951.81448807052</v>
      </c>
    </row>
    <row r="61" spans="1:9" x14ac:dyDescent="0.45">
      <c r="A61">
        <v>60</v>
      </c>
      <c r="B61">
        <v>1639</v>
      </c>
      <c r="C61" s="1">
        <f t="shared" ref="C61" si="406">C60+G60*(B60-C60)</f>
        <v>1941.0344110188032</v>
      </c>
      <c r="D61" s="1">
        <f t="shared" ref="D61" si="407">B61-C61</f>
        <v>-302.03441101880321</v>
      </c>
      <c r="E61">
        <f t="shared" ref="E61" si="408">gamma*(D60-E60)+E60</f>
        <v>2.2681557751980108E-5</v>
      </c>
      <c r="F61">
        <f t="shared" ref="F61" si="409">gamma*(ABS(D60)-F60)+F60</f>
        <v>259.54626500763749</v>
      </c>
      <c r="G61">
        <f t="shared" ref="G61" si="410">IF(F61=0,0,ABS(E61/F61))</f>
        <v>8.7389266616156755E-8</v>
      </c>
      <c r="H61">
        <f t="shared" ref="H61" si="411">ABS((B61-C61)/B61)</f>
        <v>0.18427968945625578</v>
      </c>
      <c r="I61">
        <f t="shared" ref="I61" si="412">(B61-C61)^2</f>
        <v>91224.785439475352</v>
      </c>
    </row>
    <row r="62" spans="1:9" x14ac:dyDescent="0.45">
      <c r="A62">
        <v>61</v>
      </c>
      <c r="B62">
        <v>1717</v>
      </c>
      <c r="C62" s="1">
        <f t="shared" ref="C62" si="413">C61+G61*(B61-C61)</f>
        <v>1941.0343846242376</v>
      </c>
      <c r="D62" s="1">
        <f t="shared" ref="D62" si="414">B62-C62</f>
        <v>-224.03438462423765</v>
      </c>
      <c r="E62">
        <f t="shared" ref="E62" si="415">gamma*(D61-E61)+E61</f>
        <v>-44.537980604053168</v>
      </c>
      <c r="F62">
        <f t="shared" ref="F62" si="416">gamma*(ABS(D61)-F61)+F61</f>
        <v>265.81156781917764</v>
      </c>
      <c r="G62">
        <f t="shared" ref="G62" si="417">IF(F62=0,0,ABS(E62/F62))</f>
        <v>0.16755471166834549</v>
      </c>
      <c r="H62">
        <f t="shared" ref="H62" si="418">ABS((B62-C62)/B62)</f>
        <v>0.13048013082366783</v>
      </c>
      <c r="I62">
        <f t="shared" ref="I62" si="419">(B62-C62)^2</f>
        <v>50191.405493960847</v>
      </c>
    </row>
    <row r="63" spans="1:9" x14ac:dyDescent="0.45">
      <c r="A63">
        <v>62</v>
      </c>
      <c r="B63">
        <v>2664</v>
      </c>
      <c r="C63" s="1">
        <f t="shared" ref="C63" si="420">C62+G62*(B62-C62)</f>
        <v>1903.4963679047282</v>
      </c>
      <c r="D63" s="1">
        <f t="shared" ref="D63" si="421">B63-C63</f>
        <v>760.50363209527177</v>
      </c>
      <c r="E63">
        <f t="shared" ref="E63" si="422">gamma*(D62-E62)+E62</f>
        <v>-71.00652372366757</v>
      </c>
      <c r="F63">
        <f t="shared" ref="F63" si="423">gamma*(ABS(D62)-F62)+F62</f>
        <v>259.65110359791697</v>
      </c>
      <c r="G63">
        <f t="shared" ref="G63" si="424">IF(F63=0,0,ABS(E63/F63))</f>
        <v>0.27346898487912769</v>
      </c>
      <c r="H63">
        <f t="shared" ref="H63" si="425">ABS((B63-C63)/B63)</f>
        <v>0.28547433637209901</v>
      </c>
      <c r="I63">
        <f t="shared" ref="I63" si="426">(B63-C63)^2</f>
        <v>578365.77443010046</v>
      </c>
    </row>
    <row r="64" spans="1:9" x14ac:dyDescent="0.45">
      <c r="A64">
        <v>63</v>
      </c>
      <c r="B64">
        <v>2064</v>
      </c>
      <c r="C64" s="1">
        <f t="shared" ref="C64" si="427">C63+G63*(B63-C63)</f>
        <v>2111.470524170712</v>
      </c>
      <c r="D64" s="1">
        <f t="shared" ref="D64" si="428">B64-C64</f>
        <v>-47.470524170711997</v>
      </c>
      <c r="E64">
        <f t="shared" ref="E64" si="429">gamma*(D63-E63)+E63</f>
        <v>51.607979524074224</v>
      </c>
      <c r="F64">
        <f t="shared" ref="F64" si="430">gamma*(ABS(D63)-F63)+F63</f>
        <v>333.50682688922814</v>
      </c>
      <c r="G64">
        <f t="shared" ref="G64" si="431">IF(F64=0,0,ABS(E64/F64))</f>
        <v>0.15474339762530689</v>
      </c>
      <c r="H64">
        <f t="shared" ref="H64" si="432">ABS((B64-C64)/B64)</f>
        <v>2.2999284966430229E-2</v>
      </c>
      <c r="I64">
        <f t="shared" ref="I64" si="433">(B64-C64)^2</f>
        <v>2253.4506650421517</v>
      </c>
    </row>
    <row r="65" spans="1:9" x14ac:dyDescent="0.45">
      <c r="A65">
        <v>64</v>
      </c>
      <c r="B65">
        <v>1993</v>
      </c>
      <c r="C65" s="1">
        <f t="shared" ref="C65" si="434">C64+G64*(B64-C64)</f>
        <v>2104.1247739734818</v>
      </c>
      <c r="D65" s="1">
        <f t="shared" ref="D65" si="435">B65-C65</f>
        <v>-111.12477397348175</v>
      </c>
      <c r="E65">
        <f t="shared" ref="E65" si="436">gamma*(D64-E64)+E64</f>
        <v>36.997861502002728</v>
      </c>
      <c r="F65">
        <f t="shared" ref="F65" si="437">gamma*(ABS(D64)-F64)+F64</f>
        <v>291.32790829970162</v>
      </c>
      <c r="G65">
        <f t="shared" ref="G65" si="438">IF(F65=0,0,ABS(E65/F65))</f>
        <v>0.12699731281474561</v>
      </c>
      <c r="H65">
        <f t="shared" ref="H65" si="439">ABS((B65-C65)/B65)</f>
        <v>5.5757538371039514E-2</v>
      </c>
      <c r="I65">
        <f t="shared" ref="I65" si="440">(B65-C65)^2</f>
        <v>12348.715390657408</v>
      </c>
    </row>
    <row r="66" spans="1:9" x14ac:dyDescent="0.45">
      <c r="A66">
        <v>65</v>
      </c>
      <c r="B66">
        <v>1870</v>
      </c>
      <c r="C66" s="1">
        <f t="shared" ref="C66" si="441">C65+G65*(B65-C65)</f>
        <v>2090.0122262917034</v>
      </c>
      <c r="D66" s="1">
        <f t="shared" ref="D66" si="442">B66-C66</f>
        <v>-220.01222629170343</v>
      </c>
      <c r="E66">
        <f t="shared" ref="E66" si="443">gamma*(D65-E65)+E65</f>
        <v>15.155694883261361</v>
      </c>
      <c r="F66">
        <f t="shared" ref="F66" si="444">gamma*(ABS(D65)-F65)+F65</f>
        <v>264.75515071584016</v>
      </c>
      <c r="G66">
        <f t="shared" ref="G66" si="445">IF(F66=0,0,ABS(E66/F66))</f>
        <v>5.7244192765593678E-2</v>
      </c>
      <c r="H66">
        <f t="shared" ref="H66" si="446">ABS((B66-C66)/B66)</f>
        <v>0.11765359694743499</v>
      </c>
      <c r="I66">
        <f t="shared" ref="I66" si="447">(B66-C66)^2</f>
        <v>48405.379717831718</v>
      </c>
    </row>
    <row r="67" spans="1:9" x14ac:dyDescent="0.45">
      <c r="A67">
        <v>66</v>
      </c>
      <c r="B67">
        <v>2328</v>
      </c>
      <c r="C67" s="1">
        <f t="shared" ref="C67" si="448">C66+G66*(B66-C66)</f>
        <v>2077.4178039990738</v>
      </c>
      <c r="D67" s="1">
        <f t="shared" ref="D67" si="449">B67-C67</f>
        <v>250.58219600092616</v>
      </c>
      <c r="E67">
        <f t="shared" ref="E67" si="450">gamma*(D66-E66)+E66</f>
        <v>-19.522171205185074</v>
      </c>
      <c r="F67">
        <f t="shared" ref="F67" si="451">gamma*(ABS(D66)-F66)+F66</f>
        <v>258.1573582370296</v>
      </c>
      <c r="G67">
        <f t="shared" ref="G67" si="452">IF(F67=0,0,ABS(E67/F67))</f>
        <v>7.5621207694806861E-2</v>
      </c>
      <c r="H67">
        <f t="shared" ref="H67" si="453">ABS((B67-C67)/B67)</f>
        <v>0.10763840034404044</v>
      </c>
      <c r="I67">
        <f t="shared" ref="I67" si="454">(B67-C67)^2</f>
        <v>62791.436952646574</v>
      </c>
    </row>
    <row r="68" spans="1:9" x14ac:dyDescent="0.45">
      <c r="A68">
        <v>67</v>
      </c>
      <c r="B68">
        <v>1825</v>
      </c>
      <c r="C68" s="1">
        <f t="shared" ref="C68" si="455">C67+G67*(B67-C67)</f>
        <v>2096.3671322874807</v>
      </c>
      <c r="D68" s="1">
        <f t="shared" ref="D68" si="456">B68-C68</f>
        <v>-271.36713228748067</v>
      </c>
      <c r="E68">
        <f t="shared" ref="E68" si="457">gamma*(D67-E67)+E67</f>
        <v>20.307423873428185</v>
      </c>
      <c r="F68">
        <f t="shared" ref="F68" si="458">gamma*(ABS(D67)-F67)+F67</f>
        <v>257.04032467093191</v>
      </c>
      <c r="G68">
        <f t="shared" ref="G68" si="459">IF(F68=0,0,ABS(E68/F68))</f>
        <v>7.9004817238019553E-2</v>
      </c>
      <c r="H68">
        <f t="shared" ref="H68" si="460">ABS((B68-C68)/B68)</f>
        <v>0.14869431906163325</v>
      </c>
      <c r="I68">
        <f t="shared" ref="I68" si="461">(B68-C68)^2</f>
        <v>73640.120485931038</v>
      </c>
    </row>
    <row r="69" spans="1:9" x14ac:dyDescent="0.45">
      <c r="A69">
        <v>68</v>
      </c>
      <c r="B69">
        <v>2660</v>
      </c>
      <c r="C69" s="1">
        <f t="shared" ref="C69" si="462">C68+G68*(B68-C68)</f>
        <v>2074.9278215967029</v>
      </c>
      <c r="D69" s="1">
        <f t="shared" ref="D69" si="463">B69-C69</f>
        <v>585.07217840329713</v>
      </c>
      <c r="E69">
        <f t="shared" ref="E69" si="464">gamma*(D68-E68)+E68</f>
        <v>-22.70291167497237</v>
      </c>
      <c r="F69">
        <f t="shared" ref="F69" si="465">gamma*(ABS(D68)-F68)+F68</f>
        <v>259.1529559920719</v>
      </c>
      <c r="G69">
        <f t="shared" ref="G69" si="466">IF(F69=0,0,ABS(E69/F69))</f>
        <v>8.7604293719369758E-2</v>
      </c>
      <c r="H69">
        <f t="shared" ref="H69" si="467">ABS((B69-C69)/B69)</f>
        <v>0.21995194676815683</v>
      </c>
      <c r="I69">
        <f t="shared" ref="I69" si="468">(B69-C69)^2</f>
        <v>342309.45394157956</v>
      </c>
    </row>
    <row r="70" spans="1:9" x14ac:dyDescent="0.45">
      <c r="A70">
        <v>69</v>
      </c>
      <c r="B70">
        <v>2956</v>
      </c>
      <c r="C70" s="1">
        <f t="shared" ref="C70" si="469">C69+G69*(B69-C69)</f>
        <v>2126.182656560577</v>
      </c>
      <c r="D70" s="1">
        <f t="shared" ref="D70" si="470">B70-C70</f>
        <v>829.81734343942298</v>
      </c>
      <c r="E70">
        <f t="shared" ref="E70" si="471">gamma*(D69-E69)+E69</f>
        <v>66.919614562128288</v>
      </c>
      <c r="F70">
        <f t="shared" ref="F70" si="472">gamma*(ABS(D69)-F69)+F69</f>
        <v>307.21301067112074</v>
      </c>
      <c r="G70">
        <f t="shared" ref="G70" si="473">IF(F70=0,0,ABS(E70/F70))</f>
        <v>0.21782806143509142</v>
      </c>
      <c r="H70">
        <f t="shared" ref="H70" si="474">ABS((B70-C70)/B70)</f>
        <v>0.28072305258437857</v>
      </c>
      <c r="I70">
        <f t="shared" ref="I70" si="475">(B70-C70)^2</f>
        <v>688596.82347286132</v>
      </c>
    </row>
    <row r="71" spans="1:9" x14ac:dyDescent="0.45">
      <c r="A71">
        <v>70</v>
      </c>
      <c r="B71">
        <v>2642</v>
      </c>
      <c r="C71" s="1">
        <f t="shared" ref="C71" si="476">C70+G70*(B70-C70)</f>
        <v>2306.9401598272038</v>
      </c>
      <c r="D71" s="1">
        <f t="shared" ref="D71" si="477">B71-C71</f>
        <v>335.05984017279616</v>
      </c>
      <c r="E71">
        <f t="shared" ref="E71" si="478">gamma*(D70-E70)+E70</f>
        <v>179.41652803998201</v>
      </c>
      <c r="F71">
        <f t="shared" ref="F71" si="479">gamma*(ABS(D70)-F70)+F70</f>
        <v>384.27625543016137</v>
      </c>
      <c r="G71">
        <f t="shared" ref="G71" si="480">IF(F71=0,0,ABS(E71/F71))</f>
        <v>0.46689465067036728</v>
      </c>
      <c r="H71">
        <f t="shared" ref="H71" si="481">ABS((B71-C71)/B71)</f>
        <v>0.12682052996699325</v>
      </c>
      <c r="I71">
        <f t="shared" ref="I71" si="482">(B71-C71)^2</f>
        <v>112265.09649661971</v>
      </c>
    </row>
    <row r="72" spans="1:9" x14ac:dyDescent="0.45">
      <c r="A72">
        <v>71</v>
      </c>
      <c r="B72">
        <v>2485</v>
      </c>
      <c r="C72" s="1">
        <f t="shared" ref="C72" si="483">C71+G71*(B71-C71)</f>
        <v>2463.3778068583506</v>
      </c>
      <c r="D72" s="1">
        <f t="shared" ref="D72" si="484">B72-C72</f>
        <v>21.622193141649404</v>
      </c>
      <c r="E72">
        <f t="shared" ref="E72" si="485">gamma*(D71-E71)+E71</f>
        <v>202.36769378034825</v>
      </c>
      <c r="F72">
        <f t="shared" ref="F72" si="486">gamma*(ABS(D71)-F71)+F71</f>
        <v>377.01880190877534</v>
      </c>
      <c r="G72">
        <f t="shared" ref="G72" si="487">IF(F72=0,0,ABS(E72/F72))</f>
        <v>0.53675756422703225</v>
      </c>
      <c r="H72">
        <f t="shared" ref="H72" si="488">ABS((B72-C72)/B72)</f>
        <v>8.701083759215052E-3</v>
      </c>
      <c r="I72">
        <f t="shared" ref="I72" si="489">(B72-C72)^2</f>
        <v>467.51923625479054</v>
      </c>
    </row>
    <row r="73" spans="1:9" x14ac:dyDescent="0.45">
      <c r="A73">
        <v>72</v>
      </c>
      <c r="B73">
        <v>2701</v>
      </c>
      <c r="C73" s="1">
        <f t="shared" ref="C73" si="490">C72+G72*(B72-C72)</f>
        <v>2474.9836825823086</v>
      </c>
      <c r="D73" s="1">
        <f t="shared" ref="D73" si="491">B73-C73</f>
        <v>226.01631741769143</v>
      </c>
      <c r="E73">
        <f t="shared" ref="E73" si="492">gamma*(D72-E72)+E72</f>
        <v>175.71495884982718</v>
      </c>
      <c r="F73">
        <f t="shared" ref="F73" si="493">gamma*(ABS(D72)-F72)+F72</f>
        <v>324.61201128215311</v>
      </c>
      <c r="G73">
        <f t="shared" ref="G73" si="494">IF(F73=0,0,ABS(E73/F73))</f>
        <v>0.54130763108791913</v>
      </c>
      <c r="H73">
        <f t="shared" ref="H73" si="495">ABS((B73-C73)/B73)</f>
        <v>8.367875506023377E-2</v>
      </c>
      <c r="I73">
        <f t="shared" ref="I73" si="496">(B73-C73)^2</f>
        <v>51083.375739054645</v>
      </c>
    </row>
    <row r="74" spans="1:9" x14ac:dyDescent="0.45">
      <c r="A74">
        <v>73</v>
      </c>
      <c r="B74">
        <v>2676</v>
      </c>
      <c r="C74" s="1">
        <f t="shared" ref="C74" si="497">C73+G73*(B73-C73)</f>
        <v>2597.3280399508944</v>
      </c>
      <c r="D74" s="1">
        <f t="shared" ref="D74" si="498">B74-C74</f>
        <v>78.671960049105564</v>
      </c>
      <c r="E74">
        <f t="shared" ref="E74" si="499">gamma*(D73-E73)+E73</f>
        <v>183.13239813222631</v>
      </c>
      <c r="F74">
        <f t="shared" ref="F74" si="500">gamma*(ABS(D73)-F73)+F73</f>
        <v>310.07308840676035</v>
      </c>
      <c r="G74">
        <f t="shared" ref="G74" si="501">IF(F74=0,0,ABS(E74/F74))</f>
        <v>0.59061042373335348</v>
      </c>
      <c r="H74">
        <f t="shared" ref="H74" si="502">ABS((B74-C74)/B74)</f>
        <v>2.9399088209680704E-2</v>
      </c>
      <c r="I74">
        <f t="shared" ref="I74" si="503">(B74-C74)^2</f>
        <v>6189.2772979680622</v>
      </c>
    </row>
    <row r="75" spans="1:9" x14ac:dyDescent="0.45">
      <c r="A75">
        <v>74</v>
      </c>
      <c r="B75">
        <v>2471</v>
      </c>
      <c r="C75" s="1">
        <f t="shared" ref="C75" si="504">C74+G74*(B74-C74)</f>
        <v>2643.7925196114302</v>
      </c>
      <c r="D75" s="1">
        <f t="shared" ref="D75" si="505">B75-C75</f>
        <v>-172.79251961143018</v>
      </c>
      <c r="E75">
        <f t="shared" ref="E75" si="506">gamma*(D74-E74)+E74</f>
        <v>167.72865996382282</v>
      </c>
      <c r="F75">
        <f t="shared" ref="F75" si="507">gamma*(ABS(D74)-F74)+F74</f>
        <v>275.95067365814361</v>
      </c>
      <c r="G75">
        <f t="shared" ref="G75" si="508">IF(F75=0,0,ABS(E75/F75))</f>
        <v>0.60782116506666106</v>
      </c>
      <c r="H75">
        <f t="shared" ref="H75" si="509">ABS((B75-C75)/B75)</f>
        <v>6.992817467075281E-2</v>
      </c>
      <c r="I75">
        <f t="shared" ref="I75" si="510">(B75-C75)^2</f>
        <v>29857.254833666484</v>
      </c>
    </row>
    <row r="76" spans="1:9" x14ac:dyDescent="0.45">
      <c r="A76">
        <v>75</v>
      </c>
      <c r="B76">
        <v>2274</v>
      </c>
      <c r="C76" s="1">
        <f t="shared" ref="C76" si="511">C75+G75*(B75-C75)</f>
        <v>2538.7655690264069</v>
      </c>
      <c r="D76" s="1">
        <f t="shared" ref="D76" si="512">B76-C76</f>
        <v>-264.76556902640687</v>
      </c>
      <c r="E76">
        <f t="shared" ref="E76" si="513">gamma*(D75-E75)+E75</f>
        <v>117.51540040617724</v>
      </c>
      <c r="F76">
        <f t="shared" ref="F76" si="514">gamma*(ABS(D75)-F75)+F75</f>
        <v>260.73897031829165</v>
      </c>
      <c r="G76">
        <f t="shared" ref="G76" si="515">IF(F76=0,0,ABS(E76/F76))</f>
        <v>0.45070132885284758</v>
      </c>
      <c r="H76">
        <f t="shared" ref="H76" si="516">ABS((B76-C76)/B76)</f>
        <v>0.11643164864837593</v>
      </c>
      <c r="I76">
        <f t="shared" ref="I76" si="517">(B76-C76)^2</f>
        <v>70100.806541877013</v>
      </c>
    </row>
    <row r="77" spans="1:9" x14ac:dyDescent="0.45">
      <c r="A77">
        <v>76</v>
      </c>
      <c r="B77">
        <v>2916</v>
      </c>
      <c r="C77" s="1">
        <f t="shared" ref="C77" si="518">C76+G76*(B76-C76)</f>
        <v>2419.4353752317247</v>
      </c>
      <c r="D77" s="1">
        <f t="shared" ref="D77" si="519">B77-C77</f>
        <v>496.56462476827528</v>
      </c>
      <c r="E77">
        <f t="shared" ref="E77" si="520">gamma*(D76-E76)+E76</f>
        <v>61.144241449162557</v>
      </c>
      <c r="F77">
        <f t="shared" ref="F77" si="521">gamma*(ABS(D76)-F76)+F76</f>
        <v>261.33273263967578</v>
      </c>
      <c r="G77">
        <f t="shared" ref="G77" si="522">IF(F77=0,0,ABS(E77/F77))</f>
        <v>0.23397084946671384</v>
      </c>
      <c r="H77">
        <f t="shared" ref="H77" si="523">ABS((B77-C77)/B77)</f>
        <v>0.17028965184097231</v>
      </c>
      <c r="I77">
        <f t="shared" ref="I77" si="524">(B77-C77)^2</f>
        <v>246576.42657125802</v>
      </c>
    </row>
    <row r="78" spans="1:9" x14ac:dyDescent="0.45">
      <c r="A78">
        <v>77</v>
      </c>
      <c r="B78">
        <v>2569</v>
      </c>
      <c r="C78" s="1">
        <f t="shared" ref="C78" si="525">C77+G77*(B77-C77)</f>
        <v>2535.617022303878</v>
      </c>
      <c r="D78" s="1">
        <f t="shared" ref="D78" si="526">B78-C78</f>
        <v>33.382977696121998</v>
      </c>
      <c r="E78">
        <f t="shared" ref="E78" si="527">gamma*(D77-E77)+E77</f>
        <v>125.35133937935274</v>
      </c>
      <c r="F78">
        <f t="shared" ref="F78" si="528">gamma*(ABS(D77)-F77)+F77</f>
        <v>296.02003188615078</v>
      </c>
      <c r="G78">
        <f t="shared" ref="G78" si="529">IF(F78=0,0,ABS(E78/F78))</f>
        <v>0.42345559717918962</v>
      </c>
      <c r="H78">
        <f t="shared" ref="H78" si="530">ABS((B78-C78)/B78)</f>
        <v>1.2994541726789412E-2</v>
      </c>
      <c r="I78">
        <f t="shared" ref="I78" si="531">(B78-C78)^2</f>
        <v>1114.4231998597788</v>
      </c>
    </row>
    <row r="79" spans="1:9" x14ac:dyDescent="0.45">
      <c r="A79">
        <v>78</v>
      </c>
      <c r="B79">
        <v>2728</v>
      </c>
      <c r="C79" s="1">
        <f t="shared" ref="C79" si="532">C78+G78*(B78-C78)</f>
        <v>2549.753231059809</v>
      </c>
      <c r="D79" s="1">
        <f t="shared" ref="D79" si="533">B79-C79</f>
        <v>178.24676894019103</v>
      </c>
      <c r="E79">
        <f t="shared" ref="E79" si="534">gamma*(D78-E78)+E78</f>
        <v>111.7896830323033</v>
      </c>
      <c r="F79">
        <f t="shared" ref="F79" si="535">gamma*(ABS(D78)-F78)+F78</f>
        <v>257.29156692561838</v>
      </c>
      <c r="G79">
        <f t="shared" ref="G79" si="536">IF(F79=0,0,ABS(E79/F79))</f>
        <v>0.43448638588539945</v>
      </c>
      <c r="H79">
        <f t="shared" ref="H79" si="537">ABS((B79-C79)/B79)</f>
        <v>6.5339724684820757E-2</v>
      </c>
      <c r="I79">
        <f t="shared" ref="I79" si="538">(B79-C79)^2</f>
        <v>31771.91063761785</v>
      </c>
    </row>
    <row r="80" spans="1:9" x14ac:dyDescent="0.45">
      <c r="A80">
        <v>79</v>
      </c>
      <c r="B80">
        <v>2744</v>
      </c>
      <c r="C80" s="1">
        <f t="shared" ref="C80" si="539">C79+G79*(B79-C79)</f>
        <v>2627.1990254923826</v>
      </c>
      <c r="D80" s="1">
        <f t="shared" ref="D80" si="540">B80-C80</f>
        <v>116.80097450761741</v>
      </c>
      <c r="E80">
        <f t="shared" ref="E80" si="541">gamma*(D79-E79)+E79</f>
        <v>121.58944617273391</v>
      </c>
      <c r="F80">
        <f t="shared" ref="F80" si="542">gamma*(ABS(D79)-F79)+F79</f>
        <v>245.63561952500515</v>
      </c>
      <c r="G80">
        <f t="shared" ref="G80" si="543">IF(F80=0,0,ABS(E80/F80))</f>
        <v>0.49499924484834895</v>
      </c>
      <c r="H80">
        <f t="shared" ref="H80" si="544">ABS((B80-C80)/B80)</f>
        <v>4.2565952808898473E-2</v>
      </c>
      <c r="I80">
        <f t="shared" ref="I80" si="545">(B80-C80)^2</f>
        <v>13642.467645929093</v>
      </c>
    </row>
    <row r="81" spans="1:9" x14ac:dyDescent="0.45">
      <c r="A81">
        <v>80</v>
      </c>
      <c r="B81">
        <v>2063</v>
      </c>
      <c r="C81" s="1">
        <f t="shared" ref="C81" si="546">C80+G80*(B80-C80)</f>
        <v>2685.0154196712047</v>
      </c>
      <c r="D81" s="1">
        <f t="shared" ref="D81" si="547">B81-C81</f>
        <v>-622.01541967120465</v>
      </c>
      <c r="E81">
        <f t="shared" ref="E81" si="548">gamma*(D80-E80)+E80</f>
        <v>120.88333805075206</v>
      </c>
      <c r="F81">
        <f t="shared" ref="F81" si="549">gamma*(ABS(D80)-F80)+F80</f>
        <v>226.63766034271714</v>
      </c>
      <c r="G81">
        <f t="shared" ref="G81" si="550">IF(F81=0,0,ABS(E81/F81))</f>
        <v>0.53337710011634687</v>
      </c>
      <c r="H81">
        <f t="shared" ref="H81" si="551">ABS((B81-C81)/B81)</f>
        <v>0.30151014041260527</v>
      </c>
      <c r="I81">
        <f t="shared" ref="I81" si="552">(B81-C81)^2</f>
        <v>386903.18230874487</v>
      </c>
    </row>
    <row r="82" spans="1:9" x14ac:dyDescent="0.45">
      <c r="A82">
        <v>81</v>
      </c>
      <c r="B82">
        <v>2219</v>
      </c>
      <c r="C82" s="1">
        <f t="shared" ref="C82" si="553">C81+G81*(B81-C81)</f>
        <v>2353.2466388993253</v>
      </c>
      <c r="D82" s="1">
        <f t="shared" ref="D82" si="554">B82-C82</f>
        <v>-134.24663889932526</v>
      </c>
      <c r="E82">
        <f t="shared" ref="E82" si="555">gamma*(D81-E81)+E81</f>
        <v>11.335473236366056</v>
      </c>
      <c r="F82">
        <f t="shared" ref="F82" si="556">gamma*(ABS(D81)-F81)+F81</f>
        <v>284.94007218460445</v>
      </c>
      <c r="G82">
        <f t="shared" ref="G82" si="557">IF(F82=0,0,ABS(E82/F82))</f>
        <v>3.9781955375592558E-2</v>
      </c>
      <c r="H82">
        <f t="shared" ref="H82" si="558">ABS((B82-C82)/B82)</f>
        <v>6.0498710635117289E-2</v>
      </c>
      <c r="I82">
        <f t="shared" ref="I82" si="559">(B82-C82)^2</f>
        <v>18022.160055765831</v>
      </c>
    </row>
    <row r="83" spans="1:9" x14ac:dyDescent="0.45">
      <c r="A83">
        <v>82</v>
      </c>
      <c r="B83">
        <v>2696</v>
      </c>
      <c r="C83" s="1">
        <f t="shared" ref="C83" si="560">C82+G82*(B82-C82)</f>
        <v>2347.9060451013088</v>
      </c>
      <c r="D83" s="1">
        <f t="shared" ref="D83" si="561">B83-C83</f>
        <v>348.09395489869121</v>
      </c>
      <c r="E83">
        <f t="shared" ref="E83" si="562">gamma*(D82-E82)+E82</f>
        <v>-10.132067762810582</v>
      </c>
      <c r="F83">
        <f t="shared" ref="F83" si="563">gamma*(ABS(D82)-F82)+F82</f>
        <v>262.71881567238137</v>
      </c>
      <c r="G83">
        <f t="shared" ref="G83" si="564">IF(F83=0,0,ABS(E83/F83))</f>
        <v>3.8566205229265307E-2</v>
      </c>
      <c r="H83">
        <f t="shared" ref="H83" si="565">ABS((B83-C83)/B83)</f>
        <v>0.12911496843423265</v>
      </c>
      <c r="I83">
        <f t="shared" ref="I83" si="566">(B83-C83)^2</f>
        <v>121169.40143701207</v>
      </c>
    </row>
    <row r="84" spans="1:9" x14ac:dyDescent="0.45">
      <c r="A84">
        <v>83</v>
      </c>
      <c r="B84">
        <v>2526</v>
      </c>
      <c r="C84" s="1">
        <f t="shared" ref="C84" si="567">C83+G83*(B83-C83)</f>
        <v>2361.3307080049985</v>
      </c>
      <c r="D84" s="1">
        <f t="shared" ref="D84" si="568">B84-C84</f>
        <v>164.66929199500146</v>
      </c>
      <c r="E84">
        <f t="shared" ref="E84" si="569">gamma*(D83-E83)+E83</f>
        <v>42.691948289999601</v>
      </c>
      <c r="F84">
        <f t="shared" ref="F84" si="570">gamma*(ABS(D83)-F83)+F83</f>
        <v>275.30823531167704</v>
      </c>
      <c r="G84">
        <f t="shared" ref="G84" si="571">IF(F84=0,0,ABS(E84/F84))</f>
        <v>0.15506963764330536</v>
      </c>
      <c r="H84">
        <f t="shared" ref="H84" si="572">ABS((B84-C84)/B84)</f>
        <v>6.5189743465954658E-2</v>
      </c>
      <c r="I84">
        <f t="shared" ref="I84" si="573">(B84-C84)^2</f>
        <v>27115.97572613505</v>
      </c>
    </row>
    <row r="85" spans="1:9" x14ac:dyDescent="0.45">
      <c r="A85">
        <v>84</v>
      </c>
      <c r="B85">
        <v>2016</v>
      </c>
      <c r="C85" s="1">
        <f t="shared" ref="C85" si="574">C84+G84*(B84-C84)</f>
        <v>2386.8659154456432</v>
      </c>
      <c r="D85" s="1">
        <f t="shared" ref="D85" si="575">B85-C85</f>
        <v>-370.86591544564317</v>
      </c>
      <c r="E85">
        <f t="shared" ref="E85" si="576">gamma*(D84-E84)+E84</f>
        <v>60.678729691530151</v>
      </c>
      <c r="F85">
        <f t="shared" ref="F85" si="577">gamma*(ABS(D84)-F84)+F84</f>
        <v>258.99341464509314</v>
      </c>
      <c r="G85">
        <f t="shared" ref="G85" si="578">IF(F85=0,0,ABS(E85/F85))</f>
        <v>0.23428676661404743</v>
      </c>
      <c r="H85">
        <f t="shared" ref="H85" si="579">ABS((B85-C85)/B85)</f>
        <v>0.18396126758216427</v>
      </c>
      <c r="I85">
        <f t="shared" ref="I85" si="580">(B85-C85)^2</f>
        <v>137541.52723933494</v>
      </c>
    </row>
    <row r="86" spans="1:9" x14ac:dyDescent="0.45">
      <c r="A86">
        <v>85</v>
      </c>
      <c r="B86">
        <v>2952</v>
      </c>
      <c r="C86" s="1">
        <f t="shared" ref="C86" si="581">C85+G85*(B85-C85)</f>
        <v>2299.9769392685248</v>
      </c>
      <c r="D86" s="1">
        <f t="shared" ref="D86" si="582">B86-C86</f>
        <v>652.0230607314752</v>
      </c>
      <c r="E86">
        <f t="shared" ref="E86" si="583">gamma*(D85-E85)+E85</f>
        <v>-2.9568518133088872</v>
      </c>
      <c r="F86">
        <f t="shared" ref="F86" si="584">gamma*(ABS(D85)-F85)+F85</f>
        <v>275.49013572149687</v>
      </c>
      <c r="G86">
        <f t="shared" ref="G86" si="585">IF(F86=0,0,ABS(E86/F86))</f>
        <v>1.0733058755679288E-2</v>
      </c>
      <c r="H86">
        <f t="shared" ref="H86" si="586">ABS((B86-C86)/B86)</f>
        <v>0.22087502057299296</v>
      </c>
      <c r="I86">
        <f t="shared" ref="I86" si="587">(B86-C86)^2</f>
        <v>425134.07172564097</v>
      </c>
    </row>
    <row r="87" spans="1:9" x14ac:dyDescent="0.45">
      <c r="A87">
        <v>86</v>
      </c>
      <c r="B87">
        <v>2458</v>
      </c>
      <c r="C87" s="1">
        <f t="shared" ref="C87" si="588">C86+G86*(B86-C86)</f>
        <v>2306.9751410894137</v>
      </c>
      <c r="D87" s="1">
        <f t="shared" ref="D87" si="589">B87-C87</f>
        <v>151.02485891058632</v>
      </c>
      <c r="E87">
        <f t="shared" ref="E87" si="590">gamma*(D86-E86)+E86</f>
        <v>93.626498434328383</v>
      </c>
      <c r="F87">
        <f t="shared" ref="F87" si="591">gamma*(ABS(D86)-F86)+F86</f>
        <v>331.01368793962615</v>
      </c>
      <c r="G87">
        <f t="shared" ref="G87" si="592">IF(F87=0,0,ABS(E87/F87))</f>
        <v>0.28284781519791713</v>
      </c>
      <c r="H87">
        <f t="shared" ref="H87" si="593">ABS((B87-C87)/B87)</f>
        <v>6.1442172054754399E-2</v>
      </c>
      <c r="I87">
        <f t="shared" ref="I87" si="594">(B87-C87)^2</f>
        <v>22808.508008962504</v>
      </c>
    </row>
    <row r="88" spans="1:9" x14ac:dyDescent="0.45">
      <c r="A88">
        <v>87</v>
      </c>
      <c r="B88">
        <v>2908</v>
      </c>
      <c r="C88" s="1">
        <f t="shared" ref="C88" si="595">C87+G87*(B87-C87)</f>
        <v>2349.6921924728467</v>
      </c>
      <c r="D88" s="1">
        <f t="shared" ref="D88" si="596">B88-C88</f>
        <v>558.30780752715327</v>
      </c>
      <c r="E88">
        <f t="shared" ref="E88" si="597">gamma*(D87-E87)+E87</f>
        <v>102.09046175188968</v>
      </c>
      <c r="F88">
        <f t="shared" ref="F88" si="598">gamma*(ABS(D87)-F87)+F87</f>
        <v>304.47253181892569</v>
      </c>
      <c r="G88">
        <f t="shared" ref="G88" si="599">IF(F88=0,0,ABS(E88/F88))</f>
        <v>0.33530269920245015</v>
      </c>
      <c r="H88">
        <f t="shared" ref="H88" si="600">ABS((B88-C88)/B88)</f>
        <v>0.19199030520190966</v>
      </c>
      <c r="I88">
        <f t="shared" ref="I88" si="601">(B88-C88)^2</f>
        <v>311707.60794577684</v>
      </c>
    </row>
    <row r="89" spans="1:9" x14ac:dyDescent="0.45">
      <c r="A89">
        <v>88</v>
      </c>
      <c r="B89">
        <v>1694</v>
      </c>
      <c r="C89" s="1">
        <f t="shared" ref="C89" si="602">C88+G88*(B88-C88)</f>
        <v>2536.8943073225032</v>
      </c>
      <c r="D89" s="1">
        <f t="shared" ref="D89" si="603">B89-C89</f>
        <v>-842.89430732250321</v>
      </c>
      <c r="E89">
        <f t="shared" ref="E89" si="604">gamma*(D88-E88)+E88</f>
        <v>169.36428015780444</v>
      </c>
      <c r="F89">
        <f t="shared" ref="F89" si="605">gamma*(ABS(D88)-F88)+F88</f>
        <v>341.9030863586529</v>
      </c>
      <c r="G89">
        <f t="shared" ref="G89" si="606">IF(F89=0,0,ABS(E89/F89))</f>
        <v>0.49535756451213492</v>
      </c>
      <c r="H89">
        <f t="shared" ref="H89" si="607">ABS((B89-C89)/B89)</f>
        <v>0.4975763325398484</v>
      </c>
      <c r="I89">
        <f t="shared" ref="I89" si="608">(B89-C89)^2</f>
        <v>710470.81331668247</v>
      </c>
    </row>
    <row r="90" spans="1:9" x14ac:dyDescent="0.45">
      <c r="A90">
        <v>89</v>
      </c>
      <c r="B90">
        <v>2561</v>
      </c>
      <c r="C90" s="1">
        <f t="shared" ref="C90" si="609">C89+G89*(B89-C89)</f>
        <v>2119.3602361060848</v>
      </c>
      <c r="D90" s="1">
        <f t="shared" ref="D90" si="610">B90-C90</f>
        <v>441.63976389391519</v>
      </c>
      <c r="E90">
        <f t="shared" ref="E90" si="611">gamma*(D89-E89)+E89</f>
        <v>20.096609770883504</v>
      </c>
      <c r="F90">
        <f t="shared" ref="F90" si="612">gamma*(ABS(D89)-F89)+F89</f>
        <v>415.7792612436873</v>
      </c>
      <c r="G90">
        <f t="shared" ref="G90" si="613">IF(F90=0,0,ABS(E90/F90))</f>
        <v>4.8334805614811377E-2</v>
      </c>
      <c r="H90">
        <f t="shared" ref="H90" si="614">ABS((B90-C90)/B90)</f>
        <v>0.17244817020457445</v>
      </c>
      <c r="I90">
        <f t="shared" ref="I90" si="615">(B90-C90)^2</f>
        <v>195045.68105227314</v>
      </c>
    </row>
    <row r="91" spans="1:9" x14ac:dyDescent="0.45">
      <c r="A91">
        <v>90</v>
      </c>
      <c r="B91">
        <v>1687</v>
      </c>
      <c r="C91" s="1">
        <f t="shared" ref="C91" si="616">C90+G90*(B90-C90)</f>
        <v>2140.7068082456685</v>
      </c>
      <c r="D91" s="1">
        <f t="shared" ref="D91" si="617">B91-C91</f>
        <v>-453.70680824566853</v>
      </c>
      <c r="E91">
        <f t="shared" ref="E91" si="618">gamma*(D90-E90)+E90</f>
        <v>82.257371222288626</v>
      </c>
      <c r="F91">
        <f t="shared" ref="F91" si="619">gamma*(ABS(D90)-F90)+F90</f>
        <v>419.59265145185822</v>
      </c>
      <c r="G91">
        <f t="shared" ref="G91" si="620">IF(F91=0,0,ABS(E91/F91))</f>
        <v>0.19604101963574638</v>
      </c>
      <c r="H91">
        <f t="shared" ref="H91" si="621">ABS((B91-C91)/B91)</f>
        <v>0.26894298058427296</v>
      </c>
      <c r="I91">
        <f t="shared" ref="I91" si="622">(B91-C91)^2</f>
        <v>205849.86784847183</v>
      </c>
    </row>
    <row r="92" spans="1:9" x14ac:dyDescent="0.45">
      <c r="A92">
        <v>91</v>
      </c>
      <c r="B92">
        <v>1772</v>
      </c>
      <c r="C92" s="1">
        <f t="shared" ref="C92" si="623">C91+G91*(B91-C91)</f>
        <v>2051.7616629415074</v>
      </c>
      <c r="D92" s="1">
        <f t="shared" ref="D92" si="624">B92-C92</f>
        <v>-279.76166294150744</v>
      </c>
      <c r="E92">
        <f t="shared" ref="E92" si="625">gamma*(D91-E91)+E91</f>
        <v>3.2240832171365668</v>
      </c>
      <c r="F92">
        <f t="shared" ref="F92" si="626">gamma*(ABS(D91)-F91)+F91</f>
        <v>424.62312565559057</v>
      </c>
      <c r="G92">
        <f t="shared" ref="G92" si="627">IF(F92=0,0,ABS(E92/F92))</f>
        <v>7.5928111832316986E-3</v>
      </c>
      <c r="H92">
        <f t="shared" ref="H92" si="628">ABS((B92-C92)/B92)</f>
        <v>0.15787904229204708</v>
      </c>
      <c r="I92">
        <f t="shared" ref="I92" si="629">(B92-C92)^2</f>
        <v>78266.588051797618</v>
      </c>
    </row>
    <row r="93" spans="1:9" x14ac:dyDescent="0.45">
      <c r="A93">
        <v>92</v>
      </c>
      <c r="B93">
        <v>1855</v>
      </c>
      <c r="C93" s="1">
        <f t="shared" ref="C93" si="630">C92+G92*(B92-C92)</f>
        <v>2049.6374854584856</v>
      </c>
      <c r="D93" s="1">
        <f t="shared" ref="D93" si="631">B93-C93</f>
        <v>-194.63748545848557</v>
      </c>
      <c r="E93">
        <f t="shared" ref="E93" si="632">gamma*(D92-E92)+E92</f>
        <v>-38.505000244580273</v>
      </c>
      <c r="F93">
        <f t="shared" ref="F93" si="633">gamma*(ABS(D92)-F92)+F92</f>
        <v>403.26185163370565</v>
      </c>
      <c r="G93">
        <f t="shared" ref="G93" si="634">IF(F93=0,0,ABS(E93/F93))</f>
        <v>9.5483865107963334E-2</v>
      </c>
      <c r="H93">
        <f t="shared" ref="H93" si="635">ABS((B93-C93)/B93)</f>
        <v>0.10492586817169033</v>
      </c>
      <c r="I93">
        <f t="shared" ref="I93" si="636">(B93-C93)^2</f>
        <v>37883.750745602185</v>
      </c>
    </row>
    <row r="94" spans="1:9" x14ac:dyDescent="0.45">
      <c r="A94">
        <v>93</v>
      </c>
      <c r="B94">
        <v>2068</v>
      </c>
      <c r="C94" s="1">
        <f t="shared" ref="C94" si="637">C93+G93*(B93-C93)</f>
        <v>2031.0527460520143</v>
      </c>
      <c r="D94" s="1">
        <f t="shared" ref="D94" si="638">B94-C94</f>
        <v>36.947253947985701</v>
      </c>
      <c r="E94">
        <f t="shared" ref="E94" si="639">gamma*(D93-E93)+E93</f>
        <v>-61.528299456703188</v>
      </c>
      <c r="F94">
        <f t="shared" ref="F94" si="640">gamma*(ABS(D93)-F93)+F93</f>
        <v>372.49809866576271</v>
      </c>
      <c r="G94">
        <f t="shared" ref="G94" si="641">IF(F94=0,0,ABS(E94/F94))</f>
        <v>0.16517748594446294</v>
      </c>
      <c r="H94">
        <f t="shared" ref="H94" si="642">ABS((B94-C94)/B94)</f>
        <v>1.7866176957439892E-2</v>
      </c>
      <c r="I94">
        <f t="shared" ref="I94" si="643">(B94-C94)^2</f>
        <v>1365.0995742969449</v>
      </c>
    </row>
    <row r="95" spans="1:9" x14ac:dyDescent="0.45">
      <c r="A95">
        <v>94</v>
      </c>
      <c r="B95">
        <v>2170</v>
      </c>
      <c r="C95" s="1">
        <f t="shared" ref="C95" si="644">C94+G94*(B94-C94)</f>
        <v>2037.1556005716943</v>
      </c>
      <c r="D95" s="1">
        <f t="shared" ref="D95" si="645">B95-C95</f>
        <v>132.84439942830568</v>
      </c>
      <c r="E95">
        <f t="shared" ref="E95" si="646">gamma*(D94-E94)+E94</f>
        <v>-47.007092495772675</v>
      </c>
      <c r="F95">
        <f t="shared" ref="F95" si="647">gamma*(ABS(D94)-F94)+F94</f>
        <v>323.0177647798717</v>
      </c>
      <c r="G95">
        <f t="shared" ref="G95" si="648">IF(F95=0,0,ABS(E95/F95))</f>
        <v>0.1455247903402675</v>
      </c>
      <c r="H95">
        <f t="shared" ref="H95" si="649">ABS((B95-C95)/B95)</f>
        <v>6.1218617248067132E-2</v>
      </c>
      <c r="I95">
        <f t="shared" ref="I95" si="650">(B95-C95)^2</f>
        <v>17647.634459467223</v>
      </c>
    </row>
    <row r="96" spans="1:9" x14ac:dyDescent="0.45">
      <c r="A96">
        <v>95</v>
      </c>
      <c r="B96">
        <v>1864</v>
      </c>
      <c r="C96" s="1">
        <f t="shared" ref="C96" si="651">C95+G95*(B95-C95)</f>
        <v>2056.4877539463773</v>
      </c>
      <c r="D96" s="1">
        <f t="shared" ref="D96" si="652">B96-C96</f>
        <v>-192.48775394637732</v>
      </c>
      <c r="E96">
        <f t="shared" ref="E96" si="653">gamma*(D95-E95)+E95</f>
        <v>-20.486188107158082</v>
      </c>
      <c r="F96">
        <f t="shared" ref="F96" si="654">gamma*(ABS(D95)-F95)+F95</f>
        <v>294.97479674111327</v>
      </c>
      <c r="G96">
        <f t="shared" ref="G96" si="655">IF(F96=0,0,ABS(E96/F96))</f>
        <v>6.9450638947767221E-2</v>
      </c>
      <c r="H96">
        <f t="shared" ref="H96" si="656">ABS((B96-C96)/B96)</f>
        <v>0.1032659624175844</v>
      </c>
      <c r="I96">
        <f t="shared" ref="I96" si="657">(B96-C96)^2</f>
        <v>37051.535419321102</v>
      </c>
    </row>
    <row r="97" spans="1:9" x14ac:dyDescent="0.45">
      <c r="A97">
        <v>96</v>
      </c>
      <c r="B97">
        <v>1508</v>
      </c>
      <c r="C97" s="1">
        <f t="shared" ref="C97" si="658">C96+G96*(B96-C96)</f>
        <v>2043.1193564451808</v>
      </c>
      <c r="D97" s="1">
        <f t="shared" ref="D97" si="659">B97-C97</f>
        <v>-535.11935644518076</v>
      </c>
      <c r="E97">
        <f t="shared" ref="E97" si="660">gamma*(D96-E96)+E96</f>
        <v>-45.84954224735926</v>
      </c>
      <c r="F97">
        <f t="shared" ref="F97" si="661">gamma*(ABS(D96)-F96)+F96</f>
        <v>279.86205547912567</v>
      </c>
      <c r="G97">
        <f t="shared" ref="G97" si="662">IF(F97=0,0,ABS(E97/F97))</f>
        <v>0.16382907703891669</v>
      </c>
      <c r="H97">
        <f t="shared" ref="H97" si="663">ABS((B97-C97)/B97)</f>
        <v>0.35485368464534534</v>
      </c>
      <c r="I97">
        <f t="shared" ref="I97" si="664">(B97-C97)^2</f>
        <v>286352.7256423044</v>
      </c>
    </row>
    <row r="98" spans="1:9" x14ac:dyDescent="0.45">
      <c r="A98">
        <v>97</v>
      </c>
      <c r="B98">
        <v>1622</v>
      </c>
      <c r="C98" s="1">
        <f t="shared" ref="C98" si="665">C97+G97*(B97-C97)</f>
        <v>1955.4512461731076</v>
      </c>
      <c r="D98" s="1">
        <f t="shared" ref="D98" si="666">B98-C98</f>
        <v>-333.45124617310762</v>
      </c>
      <c r="E98">
        <f t="shared" ref="E98" si="667">gamma*(D97-E97)+E97</f>
        <v>-117.99727826977283</v>
      </c>
      <c r="F98">
        <f t="shared" ref="F98" si="668">gamma*(ABS(D97)-F97)+F97</f>
        <v>317.50230189017174</v>
      </c>
      <c r="G98">
        <f t="shared" ref="G98" si="669">IF(F98=0,0,ABS(E98/F98))</f>
        <v>0.37164227650415482</v>
      </c>
      <c r="H98">
        <f t="shared" ref="H98" si="670">ABS((B98-C98)/B98)</f>
        <v>0.20558029973681111</v>
      </c>
      <c r="I98">
        <f t="shared" ref="I98" si="671">(B98-C98)^2</f>
        <v>111189.73357439841</v>
      </c>
    </row>
    <row r="99" spans="1:9" x14ac:dyDescent="0.45">
      <c r="A99">
        <v>98</v>
      </c>
      <c r="B99">
        <v>1635</v>
      </c>
      <c r="C99" s="1">
        <f t="shared" ref="C99" si="672">C98+G98*(B98-C98)</f>
        <v>1831.5266659421866</v>
      </c>
      <c r="D99" s="1">
        <f t="shared" ref="D99" si="673">B99-C99</f>
        <v>-196.52666594218658</v>
      </c>
      <c r="E99">
        <f t="shared" ref="E99" si="674">gamma*(D98-E98)+E98</f>
        <v>-149.76812443725458</v>
      </c>
      <c r="F99">
        <f t="shared" ref="F99" si="675">gamma*(ABS(D98)-F98)+F98</f>
        <v>319.85413351470805</v>
      </c>
      <c r="G99">
        <f t="shared" ref="G99" si="676">IF(F99=0,0,ABS(E99/F99))</f>
        <v>0.46823882746654483</v>
      </c>
      <c r="H99">
        <f t="shared" ref="H99" si="677">ABS((B99-C99)/B99)</f>
        <v>0.12019979568329454</v>
      </c>
      <c r="I99">
        <f t="shared" ref="I99" si="678">(B99-C99)^2</f>
        <v>38622.730426351802</v>
      </c>
    </row>
    <row r="100" spans="1:9" x14ac:dyDescent="0.45">
      <c r="A100">
        <v>99</v>
      </c>
      <c r="B100">
        <v>1503</v>
      </c>
      <c r="C100" s="1">
        <f t="shared" ref="C100" si="679">C99+G99*(B99-C99)</f>
        <v>1739.5052503155077</v>
      </c>
      <c r="D100" s="1">
        <f t="shared" ref="D100" si="680">B100-C100</f>
        <v>-236.50525031550774</v>
      </c>
      <c r="E100">
        <f t="shared" ref="E100" si="681">gamma*(D99-E99)+E99</f>
        <v>-156.66313984878562</v>
      </c>
      <c r="F100">
        <f t="shared" ref="F100" si="682">gamma*(ABS(D99)-F99)+F99</f>
        <v>301.66826282222854</v>
      </c>
      <c r="G100">
        <f t="shared" ref="G100" si="683">IF(F100=0,0,ABS(E100/F100))</f>
        <v>0.51932257766573986</v>
      </c>
      <c r="H100">
        <f t="shared" ref="H100" si="684">ABS((B100-C100)/B100)</f>
        <v>0.157355455965075</v>
      </c>
      <c r="I100">
        <f t="shared" ref="I100" si="685">(B100-C100)^2</f>
        <v>55934.733426800973</v>
      </c>
    </row>
    <row r="101" spans="1:9" x14ac:dyDescent="0.45">
      <c r="A101">
        <v>100</v>
      </c>
      <c r="B101">
        <v>1799</v>
      </c>
      <c r="C101" s="1">
        <f t="shared" ref="C101" si="686">C100+G100*(B100-C100)</f>
        <v>1616.6827340901773</v>
      </c>
      <c r="D101" s="1">
        <f t="shared" ref="D101" si="687">B101-C101</f>
        <v>182.31726590982271</v>
      </c>
      <c r="E101">
        <f t="shared" ref="E101" si="688">gamma*(D100-E100)+E100</f>
        <v>-168.43665896291677</v>
      </c>
      <c r="F101">
        <f t="shared" ref="F101" si="689">gamma*(ABS(D100)-F100)+F100</f>
        <v>292.05932376992217</v>
      </c>
      <c r="G101">
        <f t="shared" ref="G101" si="690">IF(F101=0,0,ABS(E101/F101))</f>
        <v>0.57672070450867519</v>
      </c>
      <c r="H101">
        <f t="shared" ref="H101" si="691">ABS((B101-C101)/B101)</f>
        <v>0.1013436719898959</v>
      </c>
      <c r="I101">
        <f t="shared" ref="I101" si="692">(B101-C101)^2</f>
        <v>33239.585448833001</v>
      </c>
    </row>
    <row r="102" spans="1:9" x14ac:dyDescent="0.45">
      <c r="A102">
        <v>101</v>
      </c>
      <c r="B102">
        <v>2172</v>
      </c>
      <c r="C102" s="1">
        <f t="shared" ref="C102" si="693">C101+G101*(B101-C101)</f>
        <v>1721.8288761297856</v>
      </c>
      <c r="D102" s="1">
        <f t="shared" ref="D102" si="694">B102-C102</f>
        <v>450.17112387021439</v>
      </c>
      <c r="E102">
        <f t="shared" ref="E102" si="695">gamma*(D101-E101)+E101</f>
        <v>-116.714478590857</v>
      </c>
      <c r="F102">
        <f t="shared" ref="F102" si="696">gamma*(ABS(D101)-F101)+F101</f>
        <v>275.87675784966774</v>
      </c>
      <c r="G102">
        <f t="shared" ref="G102" si="697">IF(F102=0,0,ABS(E102/F102))</f>
        <v>0.42306745773218662</v>
      </c>
      <c r="H102">
        <f t="shared" ref="H102" si="698">ABS((B102-C102)/B102)</f>
        <v>0.20726110675424236</v>
      </c>
      <c r="I102">
        <f t="shared" ref="I102" si="699">(B102-C102)^2</f>
        <v>202654.04076657191</v>
      </c>
    </row>
    <row r="103" spans="1:9" x14ac:dyDescent="0.45">
      <c r="A103">
        <v>102</v>
      </c>
      <c r="B103">
        <v>1475</v>
      </c>
      <c r="C103" s="1">
        <f t="shared" ref="C103" si="700">C102+G102*(B102-C102)</f>
        <v>1912.2816290499984</v>
      </c>
      <c r="D103" s="1">
        <f t="shared" ref="D103" si="701">B103-C103</f>
        <v>-437.2816290499984</v>
      </c>
      <c r="E103">
        <f t="shared" ref="E103" si="702">gamma*(D102-E102)+E102</f>
        <v>-33.121516968393664</v>
      </c>
      <c r="F103">
        <f t="shared" ref="F103" si="703">gamma*(ABS(D102)-F102)+F102</f>
        <v>301.57820834781768</v>
      </c>
      <c r="G103">
        <f t="shared" ref="G103" si="704">IF(F103=0,0,ABS(E103/F103))</f>
        <v>0.10982728874824335</v>
      </c>
      <c r="H103">
        <f t="shared" ref="H103" si="705">ABS((B103-C103)/B103)</f>
        <v>0.29646212138982941</v>
      </c>
      <c r="I103">
        <f t="shared" ref="I103" si="706">(B103-C103)^2</f>
        <v>191215.22310462041</v>
      </c>
    </row>
    <row r="104" spans="1:9" x14ac:dyDescent="0.45">
      <c r="A104">
        <v>103</v>
      </c>
      <c r="B104">
        <v>1985</v>
      </c>
      <c r="C104" s="1">
        <f t="shared" ref="C104" si="707">C103+G103*(B103-C103)</f>
        <v>1864.2561733120219</v>
      </c>
      <c r="D104" s="1">
        <f t="shared" ref="D104" si="708">B104-C104</f>
        <v>120.74382668797807</v>
      </c>
      <c r="E104">
        <f t="shared" ref="E104" si="709">gamma*(D103-E103)+E103</f>
        <v>-92.718974712768301</v>
      </c>
      <c r="F104">
        <f t="shared" ref="F104" si="710">gamma*(ABS(D103)-F103)+F103</f>
        <v>321.58903732203453</v>
      </c>
      <c r="G104">
        <f t="shared" ref="G104" si="711">IF(F104=0,0,ABS(E104/F104))</f>
        <v>0.28831509769383362</v>
      </c>
      <c r="H104">
        <f t="shared" ref="H104" si="712">ABS((B104-C104)/B104)</f>
        <v>6.0828124276059485E-2</v>
      </c>
      <c r="I104">
        <f t="shared" ref="I104" si="713">(B104-C104)^2</f>
        <v>14579.071683256485</v>
      </c>
    </row>
    <row r="105" spans="1:9" x14ac:dyDescent="0.45">
      <c r="A105">
        <v>104</v>
      </c>
      <c r="B105">
        <v>1476</v>
      </c>
      <c r="C105" s="1">
        <f t="shared" ref="C105:C106" si="714">C104+G104*(B104-C104)</f>
        <v>1899.0684414994937</v>
      </c>
      <c r="D105" s="1">
        <f t="shared" ref="D105" si="715">B105-C105</f>
        <v>-423.0684414994937</v>
      </c>
      <c r="E105">
        <f t="shared" ref="E105" si="716">gamma*(D104-E104)+E104</f>
        <v>-61.241745995283864</v>
      </c>
      <c r="F105">
        <f t="shared" ref="F105" si="717">gamma*(ABS(D104)-F104)+F104</f>
        <v>291.97239877679789</v>
      </c>
      <c r="G105">
        <f t="shared" ref="G105" si="718">IF(F105=0,0,ABS(E105/F105))</f>
        <v>0.20975183357006605</v>
      </c>
      <c r="H105">
        <f t="shared" ref="H105" si="719">ABS((B105-C105)/B105)</f>
        <v>0.28663173543326131</v>
      </c>
      <c r="I105">
        <f t="shared" ref="I105" si="720">(B105-C105)^2</f>
        <v>178986.90619281054</v>
      </c>
    </row>
    <row r="106" spans="1:9" x14ac:dyDescent="0.45">
      <c r="A106">
        <v>105</v>
      </c>
      <c r="C106" s="1">
        <f t="shared" si="714"/>
        <v>1810.3290601693448</v>
      </c>
      <c r="D106" s="1"/>
    </row>
    <row r="107" spans="1:9" x14ac:dyDescent="0.45">
      <c r="C107" s="1"/>
      <c r="D107" s="1"/>
    </row>
    <row r="108" spans="1:9" x14ac:dyDescent="0.45">
      <c r="C108" s="1"/>
      <c r="D108" s="1"/>
    </row>
    <row r="109" spans="1:9" x14ac:dyDescent="0.45">
      <c r="C109" s="1"/>
      <c r="D109" s="1"/>
    </row>
    <row r="110" spans="1:9" x14ac:dyDescent="0.45">
      <c r="C110" s="1"/>
      <c r="D110" s="1"/>
    </row>
    <row r="111" spans="1:9" x14ac:dyDescent="0.45">
      <c r="C111" s="1"/>
      <c r="D111" s="1"/>
    </row>
    <row r="112" spans="1:9" x14ac:dyDescent="0.45">
      <c r="C112" s="1"/>
      <c r="D112" s="1"/>
    </row>
    <row r="113" spans="3:4" x14ac:dyDescent="0.45">
      <c r="C113" s="1"/>
      <c r="D113" s="1"/>
    </row>
    <row r="114" spans="3:4" x14ac:dyDescent="0.45">
      <c r="C114" s="1"/>
    </row>
    <row r="115" spans="3:4" x14ac:dyDescent="0.45">
      <c r="C115" s="1"/>
    </row>
    <row r="116" spans="3:4" x14ac:dyDescent="0.45">
      <c r="C116" s="1"/>
    </row>
    <row r="117" spans="3:4" x14ac:dyDescent="0.45">
      <c r="C117" s="1"/>
    </row>
    <row r="118" spans="3:4" x14ac:dyDescent="0.45">
      <c r="C118" s="1"/>
    </row>
    <row r="119" spans="3:4" x14ac:dyDescent="0.45">
      <c r="C119" s="1"/>
    </row>
    <row r="120" spans="3:4" x14ac:dyDescent="0.45">
      <c r="C120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Start</vt:lpstr>
      <vt:lpstr>Product1</vt:lpstr>
      <vt:lpstr>Error Bars</vt:lpstr>
      <vt:lpstr>calcSimple</vt:lpstr>
      <vt:lpstr>calcAdaptive</vt:lpstr>
      <vt:lpstr>alpha</vt:lpstr>
      <vt:lpstr>gamma</vt:lpstr>
      <vt:lpstr>SSE_adaptive</vt:lpstr>
      <vt:lpstr>SSE_simple</vt:lpstr>
    </vt:vector>
  </TitlesOfParts>
  <Company>____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lesley</dc:creator>
  <cp:lastModifiedBy>Kerr</cp:lastModifiedBy>
  <dcterms:created xsi:type="dcterms:W3CDTF">2014-10-14T11:16:32Z</dcterms:created>
  <dcterms:modified xsi:type="dcterms:W3CDTF">2014-12-02T20:56:47Z</dcterms:modified>
</cp:coreProperties>
</file>