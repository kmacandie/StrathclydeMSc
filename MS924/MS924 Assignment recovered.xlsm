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Home\GitHub\StrathclydeMSc\MS924\"/>
    </mc:Choice>
  </mc:AlternateContent>
  <bookViews>
    <workbookView xWindow="0" yWindow="0" windowWidth="28800" windowHeight="16503" activeTab="2"/>
  </bookViews>
  <sheets>
    <sheet name="Sheet2" sheetId="2" r:id="rId1"/>
    <sheet name="Product1" sheetId="1" r:id="rId2"/>
    <sheet name="Calc_simple" sheetId="3" r:id="rId3"/>
    <sheet name="Calc_adaptive" sheetId="4" r:id="rId4"/>
  </sheets>
  <definedNames>
    <definedName name="alpha">Calc_simple!#REF!</definedName>
    <definedName name="alpha_a">Calc_adaptive!$H$2</definedName>
    <definedName name="alpha_adaptive">Calc_simple!#REF!</definedName>
    <definedName name="alpha_s">Calc_simple!$G$2</definedName>
    <definedName name="alpha_simple">Calc_simple!#REF!</definedName>
  </definedNames>
  <calcPr calcId="15251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/>
  <c r="D3" i="3"/>
  <c r="C4" i="3"/>
  <c r="D4" i="3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E2" i="3"/>
  <c r="D2" i="3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3" i="4"/>
  <c r="C106" i="3"/>
  <c r="C2" i="4"/>
  <c r="C2" i="3"/>
</calcChain>
</file>

<file path=xl/sharedStrings.xml><?xml version="1.0" encoding="utf-8"?>
<sst xmlns="http://schemas.openxmlformats.org/spreadsheetml/2006/main" count="12" uniqueCount="7">
  <si>
    <t>Week</t>
  </si>
  <si>
    <t>Sold</t>
  </si>
  <si>
    <t>Simple</t>
  </si>
  <si>
    <t>alpha</t>
  </si>
  <si>
    <t>alpha_s</t>
  </si>
  <si>
    <t>APE</t>
  </si>
  <si>
    <t>MAPE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</si>
</sst>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Calc_simple!$P$23:$P$28</c:f>
              <c:numCache>
                <c:formatCode>General</c:formatCode>
                <c:ptCount val="6"/>
              </c:numCache>
            </c:numRef>
          </c:cat>
          <c:val>
            <c:numRef>
              <c:f>Calc_simple!$Q$27:$Q$28</c:f>
              <c:numCache>
                <c:formatCode>General</c:formatCode>
                <c:ptCount val="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Calc_simple!#REF!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084424"/>
        <c:axId val="186084032"/>
      </c:lineChart>
      <c:catAx>
        <c:axId val="18608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84032"/>
        <c:crosses val="autoZero"/>
        <c:auto val="1"/>
        <c:lblAlgn val="ctr"/>
        <c:lblOffset val="100"/>
        <c:noMultiLvlLbl val="0"/>
      </c:catAx>
      <c:valAx>
        <c:axId val="1860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8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Calc_simple!$B$1</c:f>
              <c:strCache>
                <c:ptCount val="1"/>
                <c:pt idx="0">
                  <c:v>Sold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Calc_simple!$B$2:$B$120</c:f>
              <c:numCache>
                <c:formatCode>0</c:formatCode>
                <c:ptCount val="119"/>
                <c:pt idx="0">
                  <c:v>1524.6000000000001</c:v>
                </c:pt>
                <c:pt idx="1">
                  <c:v>1960.2</c:v>
                </c:pt>
                <c:pt idx="2">
                  <c:v>2061.9</c:v>
                </c:pt>
                <c:pt idx="3">
                  <c:v>2214</c:v>
                </c:pt>
                <c:pt idx="4">
                  <c:v>1621.8</c:v>
                </c:pt>
                <c:pt idx="5">
                  <c:v>1926.9</c:v>
                </c:pt>
                <c:pt idx="6">
                  <c:v>1952.1000000000001</c:v>
                </c:pt>
                <c:pt idx="7">
                  <c:v>2214.9</c:v>
                </c:pt>
                <c:pt idx="8">
                  <c:v>2009.7</c:v>
                </c:pt>
                <c:pt idx="9">
                  <c:v>2068.2000000000003</c:v>
                </c:pt>
                <c:pt idx="10">
                  <c:v>1865.7</c:v>
                </c:pt>
                <c:pt idx="11">
                  <c:v>1445.4</c:v>
                </c:pt>
                <c:pt idx="12">
                  <c:v>1723.5</c:v>
                </c:pt>
                <c:pt idx="13">
                  <c:v>2421.1000000000004</c:v>
                </c:pt>
                <c:pt idx="14">
                  <c:v>1797.4</c:v>
                </c:pt>
                <c:pt idx="15">
                  <c:v>2289.1000000000004</c:v>
                </c:pt>
                <c:pt idx="16">
                  <c:v>2072.4</c:v>
                </c:pt>
                <c:pt idx="17">
                  <c:v>2653.2000000000003</c:v>
                </c:pt>
                <c:pt idx="18">
                  <c:v>2557.5</c:v>
                </c:pt>
                <c:pt idx="19">
                  <c:v>1712.7</c:v>
                </c:pt>
                <c:pt idx="20">
                  <c:v>2206.7999999999997</c:v>
                </c:pt>
                <c:pt idx="21">
                  <c:v>2140.7999999999997</c:v>
                </c:pt>
                <c:pt idx="22">
                  <c:v>2546.4</c:v>
                </c:pt>
                <c:pt idx="23">
                  <c:v>2322</c:v>
                </c:pt>
                <c:pt idx="24">
                  <c:v>2295.6</c:v>
                </c:pt>
                <c:pt idx="25">
                  <c:v>2632.7999999999997</c:v>
                </c:pt>
                <c:pt idx="26">
                  <c:v>2574</c:v>
                </c:pt>
                <c:pt idx="27">
                  <c:v>2646</c:v>
                </c:pt>
                <c:pt idx="28">
                  <c:v>2014.8</c:v>
                </c:pt>
                <c:pt idx="29">
                  <c:v>1998</c:v>
                </c:pt>
                <c:pt idx="30">
                  <c:v>2976</c:v>
                </c:pt>
                <c:pt idx="31">
                  <c:v>1867.1999999999998</c:v>
                </c:pt>
                <c:pt idx="32">
                  <c:v>1845.6</c:v>
                </c:pt>
                <c:pt idx="33">
                  <c:v>2764.7999999999997</c:v>
                </c:pt>
                <c:pt idx="34">
                  <c:v>2088</c:v>
                </c:pt>
                <c:pt idx="35">
                  <c:v>2553.6</c:v>
                </c:pt>
                <c:pt idx="36">
                  <c:v>1980</c:v>
                </c:pt>
                <c:pt idx="37">
                  <c:v>2842.7999999999997</c:v>
                </c:pt>
                <c:pt idx="38">
                  <c:v>2328</c:v>
                </c:pt>
                <c:pt idx="39">
                  <c:v>2404</c:v>
                </c:pt>
                <c:pt idx="40">
                  <c:v>1614</c:v>
                </c:pt>
                <c:pt idx="41">
                  <c:v>1851</c:v>
                </c:pt>
                <c:pt idx="42">
                  <c:v>1648</c:v>
                </c:pt>
                <c:pt idx="43">
                  <c:v>1637</c:v>
                </c:pt>
                <c:pt idx="44">
                  <c:v>2211.3000000000002</c:v>
                </c:pt>
                <c:pt idx="45">
                  <c:v>1754.1000000000001</c:v>
                </c:pt>
                <c:pt idx="46">
                  <c:v>1600.2</c:v>
                </c:pt>
                <c:pt idx="47">
                  <c:v>2001.6000000000001</c:v>
                </c:pt>
                <c:pt idx="48">
                  <c:v>1812.6000000000001</c:v>
                </c:pt>
                <c:pt idx="49">
                  <c:v>2025</c:v>
                </c:pt>
                <c:pt idx="50">
                  <c:v>1508.4</c:v>
                </c:pt>
                <c:pt idx="51">
                  <c:v>1693.8</c:v>
                </c:pt>
                <c:pt idx="52">
                  <c:v>2007</c:v>
                </c:pt>
                <c:pt idx="53">
                  <c:v>1642.5</c:v>
                </c:pt>
                <c:pt idx="54">
                  <c:v>1917</c:v>
                </c:pt>
                <c:pt idx="55">
                  <c:v>1721.7</c:v>
                </c:pt>
                <c:pt idx="56">
                  <c:v>1440</c:v>
                </c:pt>
                <c:pt idx="57">
                  <c:v>1775.7</c:v>
                </c:pt>
                <c:pt idx="58">
                  <c:v>2242.8000000000002</c:v>
                </c:pt>
                <c:pt idx="59">
                  <c:v>1638.9</c:v>
                </c:pt>
                <c:pt idx="60">
                  <c:v>1717.2</c:v>
                </c:pt>
                <c:pt idx="61">
                  <c:v>2664.2000000000003</c:v>
                </c:pt>
                <c:pt idx="62">
                  <c:v>2063.6000000000004</c:v>
                </c:pt>
                <c:pt idx="63">
                  <c:v>1993.2000000000003</c:v>
                </c:pt>
                <c:pt idx="64">
                  <c:v>1870.0000000000002</c:v>
                </c:pt>
                <c:pt idx="65">
                  <c:v>2328</c:v>
                </c:pt>
                <c:pt idx="66">
                  <c:v>1825.2</c:v>
                </c:pt>
                <c:pt idx="67">
                  <c:v>2660.4</c:v>
                </c:pt>
                <c:pt idx="68">
                  <c:v>2955.6</c:v>
                </c:pt>
                <c:pt idx="69">
                  <c:v>2642.4</c:v>
                </c:pt>
                <c:pt idx="70">
                  <c:v>2485.1999999999998</c:v>
                </c:pt>
                <c:pt idx="71">
                  <c:v>2701.2</c:v>
                </c:pt>
                <c:pt idx="72">
                  <c:v>2676</c:v>
                </c:pt>
                <c:pt idx="73">
                  <c:v>2470.7999999999997</c:v>
                </c:pt>
                <c:pt idx="74">
                  <c:v>2274</c:v>
                </c:pt>
                <c:pt idx="75">
                  <c:v>2916</c:v>
                </c:pt>
                <c:pt idx="76">
                  <c:v>2569.1999999999998</c:v>
                </c:pt>
                <c:pt idx="77">
                  <c:v>2727.6</c:v>
                </c:pt>
                <c:pt idx="78">
                  <c:v>2744.4</c:v>
                </c:pt>
                <c:pt idx="79">
                  <c:v>2062.7999999999997</c:v>
                </c:pt>
                <c:pt idx="80">
                  <c:v>2218.7999999999997</c:v>
                </c:pt>
                <c:pt idx="81">
                  <c:v>2696.4</c:v>
                </c:pt>
                <c:pt idx="82">
                  <c:v>2526</c:v>
                </c:pt>
                <c:pt idx="83">
                  <c:v>2016</c:v>
                </c:pt>
                <c:pt idx="84">
                  <c:v>2952</c:v>
                </c:pt>
                <c:pt idx="85">
                  <c:v>2457.6</c:v>
                </c:pt>
                <c:pt idx="86">
                  <c:v>2907.6</c:v>
                </c:pt>
                <c:pt idx="87">
                  <c:v>1694.0000000000002</c:v>
                </c:pt>
                <c:pt idx="88">
                  <c:v>2560.8000000000002</c:v>
                </c:pt>
                <c:pt idx="89">
                  <c:v>1687.4</c:v>
                </c:pt>
                <c:pt idx="90">
                  <c:v>1772.1000000000001</c:v>
                </c:pt>
                <c:pt idx="91">
                  <c:v>1855</c:v>
                </c:pt>
                <c:pt idx="92">
                  <c:v>2068</c:v>
                </c:pt>
                <c:pt idx="93">
                  <c:v>2169.9</c:v>
                </c:pt>
                <c:pt idx="94">
                  <c:v>1863.9</c:v>
                </c:pt>
                <c:pt idx="95">
                  <c:v>1507.5</c:v>
                </c:pt>
                <c:pt idx="96">
                  <c:v>1621.8</c:v>
                </c:pt>
                <c:pt idx="97">
                  <c:v>1635.3</c:v>
                </c:pt>
                <c:pt idx="98">
                  <c:v>1503</c:v>
                </c:pt>
                <c:pt idx="99">
                  <c:v>1799.1000000000001</c:v>
                </c:pt>
                <c:pt idx="100">
                  <c:v>2171.7000000000003</c:v>
                </c:pt>
                <c:pt idx="101">
                  <c:v>1475.1000000000001</c:v>
                </c:pt>
                <c:pt idx="102">
                  <c:v>1984.5</c:v>
                </c:pt>
                <c:pt idx="103">
                  <c:v>1476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Calc_simple!$C$1</c:f>
              <c:strCache>
                <c:ptCount val="1"/>
                <c:pt idx="0">
                  <c:v>Simple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Calc_simple!$C$2:$C$120</c:f>
              <c:numCache>
                <c:formatCode>0</c:formatCode>
                <c:ptCount val="119"/>
                <c:pt idx="0">
                  <c:v>1524.6000000000001</c:v>
                </c:pt>
                <c:pt idx="1">
                  <c:v>1524.6000000000001</c:v>
                </c:pt>
                <c:pt idx="2">
                  <c:v>1524.6000000000001</c:v>
                </c:pt>
                <c:pt idx="3">
                  <c:v>1524.6000000000001</c:v>
                </c:pt>
                <c:pt idx="4">
                  <c:v>1524.6000000000001</c:v>
                </c:pt>
                <c:pt idx="5">
                  <c:v>1524.6000000000001</c:v>
                </c:pt>
                <c:pt idx="6">
                  <c:v>1524.6000000000001</c:v>
                </c:pt>
                <c:pt idx="7">
                  <c:v>1524.6000000000001</c:v>
                </c:pt>
                <c:pt idx="8">
                  <c:v>1524.6000000000001</c:v>
                </c:pt>
                <c:pt idx="9">
                  <c:v>1524.6000000000001</c:v>
                </c:pt>
                <c:pt idx="10">
                  <c:v>1524.6000000000001</c:v>
                </c:pt>
                <c:pt idx="11">
                  <c:v>1524.6000000000001</c:v>
                </c:pt>
                <c:pt idx="12">
                  <c:v>1524.6000000000001</c:v>
                </c:pt>
                <c:pt idx="13">
                  <c:v>1524.6000000000001</c:v>
                </c:pt>
                <c:pt idx="14">
                  <c:v>1524.6000000000001</c:v>
                </c:pt>
                <c:pt idx="15">
                  <c:v>1524.6000000000001</c:v>
                </c:pt>
                <c:pt idx="16">
                  <c:v>1524.6000000000001</c:v>
                </c:pt>
                <c:pt idx="17">
                  <c:v>1524.6000000000001</c:v>
                </c:pt>
                <c:pt idx="18">
                  <c:v>1524.6000000000001</c:v>
                </c:pt>
                <c:pt idx="19">
                  <c:v>1524.6000000000001</c:v>
                </c:pt>
                <c:pt idx="20">
                  <c:v>1524.6000000000001</c:v>
                </c:pt>
                <c:pt idx="21">
                  <c:v>1524.6000000000001</c:v>
                </c:pt>
                <c:pt idx="22">
                  <c:v>1524.6000000000001</c:v>
                </c:pt>
                <c:pt idx="23">
                  <c:v>1524.6000000000001</c:v>
                </c:pt>
                <c:pt idx="24">
                  <c:v>1524.6000000000001</c:v>
                </c:pt>
                <c:pt idx="25">
                  <c:v>1524.6000000000001</c:v>
                </c:pt>
                <c:pt idx="26">
                  <c:v>1524.6000000000001</c:v>
                </c:pt>
                <c:pt idx="27">
                  <c:v>1524.6000000000001</c:v>
                </c:pt>
                <c:pt idx="28">
                  <c:v>1524.6000000000001</c:v>
                </c:pt>
                <c:pt idx="29">
                  <c:v>1524.6000000000001</c:v>
                </c:pt>
                <c:pt idx="30">
                  <c:v>1524.6000000000001</c:v>
                </c:pt>
                <c:pt idx="31">
                  <c:v>1524.6000000000001</c:v>
                </c:pt>
                <c:pt idx="32">
                  <c:v>1524.6000000000001</c:v>
                </c:pt>
                <c:pt idx="33">
                  <c:v>1524.6000000000001</c:v>
                </c:pt>
                <c:pt idx="34">
                  <c:v>1524.6000000000001</c:v>
                </c:pt>
                <c:pt idx="35">
                  <c:v>1524.6000000000001</c:v>
                </c:pt>
                <c:pt idx="36">
                  <c:v>1524.6000000000001</c:v>
                </c:pt>
                <c:pt idx="37">
                  <c:v>1524.6000000000001</c:v>
                </c:pt>
                <c:pt idx="38">
                  <c:v>1524.6000000000001</c:v>
                </c:pt>
                <c:pt idx="39">
                  <c:v>1524.6000000000001</c:v>
                </c:pt>
                <c:pt idx="40">
                  <c:v>1524.6000000000001</c:v>
                </c:pt>
                <c:pt idx="41">
                  <c:v>1524.6000000000001</c:v>
                </c:pt>
                <c:pt idx="42">
                  <c:v>1524.6000000000001</c:v>
                </c:pt>
                <c:pt idx="43">
                  <c:v>1524.6000000000001</c:v>
                </c:pt>
                <c:pt idx="44">
                  <c:v>1524.6000000000001</c:v>
                </c:pt>
                <c:pt idx="45">
                  <c:v>1524.6000000000001</c:v>
                </c:pt>
                <c:pt idx="46">
                  <c:v>1524.6000000000001</c:v>
                </c:pt>
                <c:pt idx="47">
                  <c:v>1524.6000000000001</c:v>
                </c:pt>
                <c:pt idx="48">
                  <c:v>1524.6000000000001</c:v>
                </c:pt>
                <c:pt idx="49">
                  <c:v>1524.6000000000001</c:v>
                </c:pt>
                <c:pt idx="50">
                  <c:v>1524.6000000000001</c:v>
                </c:pt>
                <c:pt idx="51">
                  <c:v>1524.6000000000001</c:v>
                </c:pt>
                <c:pt idx="52">
                  <c:v>1524.6000000000001</c:v>
                </c:pt>
                <c:pt idx="53">
                  <c:v>1524.6000000000001</c:v>
                </c:pt>
                <c:pt idx="54">
                  <c:v>1524.6000000000001</c:v>
                </c:pt>
                <c:pt idx="55">
                  <c:v>1524.6000000000001</c:v>
                </c:pt>
                <c:pt idx="56">
                  <c:v>1524.6000000000001</c:v>
                </c:pt>
                <c:pt idx="57">
                  <c:v>1524.6000000000001</c:v>
                </c:pt>
                <c:pt idx="58">
                  <c:v>1524.6000000000001</c:v>
                </c:pt>
                <c:pt idx="59">
                  <c:v>1524.6000000000001</c:v>
                </c:pt>
                <c:pt idx="60">
                  <c:v>1524.6000000000001</c:v>
                </c:pt>
                <c:pt idx="61">
                  <c:v>1524.6000000000001</c:v>
                </c:pt>
                <c:pt idx="62">
                  <c:v>1524.6000000000001</c:v>
                </c:pt>
                <c:pt idx="63">
                  <c:v>1524.6000000000001</c:v>
                </c:pt>
                <c:pt idx="64">
                  <c:v>1524.6000000000001</c:v>
                </c:pt>
                <c:pt idx="65">
                  <c:v>1524.6000000000001</c:v>
                </c:pt>
                <c:pt idx="66">
                  <c:v>1524.6000000000001</c:v>
                </c:pt>
                <c:pt idx="67">
                  <c:v>1524.6000000000001</c:v>
                </c:pt>
                <c:pt idx="68">
                  <c:v>1524.6000000000001</c:v>
                </c:pt>
                <c:pt idx="69">
                  <c:v>1524.6000000000001</c:v>
                </c:pt>
                <c:pt idx="70">
                  <c:v>1524.6000000000001</c:v>
                </c:pt>
                <c:pt idx="71">
                  <c:v>1524.6000000000001</c:v>
                </c:pt>
                <c:pt idx="72">
                  <c:v>1524.6000000000001</c:v>
                </c:pt>
                <c:pt idx="73">
                  <c:v>1524.6000000000001</c:v>
                </c:pt>
                <c:pt idx="74">
                  <c:v>1524.6000000000001</c:v>
                </c:pt>
                <c:pt idx="75">
                  <c:v>1524.6000000000001</c:v>
                </c:pt>
                <c:pt idx="76">
                  <c:v>1524.6000000000001</c:v>
                </c:pt>
                <c:pt idx="77">
                  <c:v>1524.6000000000001</c:v>
                </c:pt>
                <c:pt idx="78">
                  <c:v>1524.6000000000001</c:v>
                </c:pt>
                <c:pt idx="79">
                  <c:v>1524.6000000000001</c:v>
                </c:pt>
                <c:pt idx="80">
                  <c:v>1524.6000000000001</c:v>
                </c:pt>
                <c:pt idx="81">
                  <c:v>1524.6000000000001</c:v>
                </c:pt>
                <c:pt idx="82">
                  <c:v>1524.6000000000001</c:v>
                </c:pt>
                <c:pt idx="83">
                  <c:v>1524.6000000000001</c:v>
                </c:pt>
                <c:pt idx="84">
                  <c:v>1524.6000000000001</c:v>
                </c:pt>
                <c:pt idx="85">
                  <c:v>1524.6000000000001</c:v>
                </c:pt>
                <c:pt idx="86">
                  <c:v>1524.6000000000001</c:v>
                </c:pt>
                <c:pt idx="87">
                  <c:v>1524.6000000000001</c:v>
                </c:pt>
                <c:pt idx="88">
                  <c:v>1524.6000000000001</c:v>
                </c:pt>
                <c:pt idx="89">
                  <c:v>1524.6000000000001</c:v>
                </c:pt>
                <c:pt idx="90">
                  <c:v>1524.6000000000001</c:v>
                </c:pt>
                <c:pt idx="91">
                  <c:v>1524.6000000000001</c:v>
                </c:pt>
                <c:pt idx="92">
                  <c:v>1524.6000000000001</c:v>
                </c:pt>
                <c:pt idx="93">
                  <c:v>1524.6000000000001</c:v>
                </c:pt>
                <c:pt idx="94">
                  <c:v>1524.6000000000001</c:v>
                </c:pt>
                <c:pt idx="95">
                  <c:v>1524.6000000000001</c:v>
                </c:pt>
                <c:pt idx="96">
                  <c:v>1524.6000000000001</c:v>
                </c:pt>
                <c:pt idx="97">
                  <c:v>1524.6000000000001</c:v>
                </c:pt>
                <c:pt idx="98">
                  <c:v>1524.6000000000001</c:v>
                </c:pt>
                <c:pt idx="99">
                  <c:v>1524.6000000000001</c:v>
                </c:pt>
                <c:pt idx="100">
                  <c:v>1524.6000000000001</c:v>
                </c:pt>
                <c:pt idx="101">
                  <c:v>1524.6000000000001</c:v>
                </c:pt>
                <c:pt idx="102">
                  <c:v>1524.6000000000001</c:v>
                </c:pt>
                <c:pt idx="103">
                  <c:v>1524.6000000000001</c:v>
                </c:pt>
                <c:pt idx="104">
                  <c:v>1524.6000000000001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081680"/>
        <c:axId val="182629704"/>
      </c:lineChart>
      <c:catAx>
        <c:axId val="18608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29704"/>
        <c:crosses val="autoZero"/>
        <c:auto val="1"/>
        <c:lblAlgn val="ctr"/>
        <c:lblOffset val="100"/>
        <c:noMultiLvlLbl val="0"/>
      </c:catAx>
      <c:valAx>
        <c:axId val="18262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8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459593</xdr:colOff>
      <xdr:row>3</xdr:row>
      <xdr:rowOff>23936</xdr:rowOff>
    </xdr:from>
    <xdr:to>
      <xdr:col>20</xdr:col>
      <xdr:colOff>608004</xdr:colOff>
      <xdr:row>18</xdr:row>
      <xdr:rowOff>38299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304002</xdr:colOff>
      <xdr:row>9</xdr:row>
      <xdr:rowOff>148410</xdr:rowOff>
    </xdr:from>
    <xdr:to>
      <xdr:col>11</xdr:col>
      <xdr:colOff>452412</xdr:colOff>
      <xdr:row>24</xdr:row>
      <xdr:rowOff>162773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796875" defaultRowHeight="14.35" x14ac:dyDescent="0.4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5"/>
  <sheetViews>
    <sheetView workbookViewId="0">
      <pane ySplit="1" topLeftCell="A2" activePane="bottomLeft" state="frozen"/>
      <selection pane="bottomLeft" sqref="A1:B1048576"/>
    </sheetView>
  </sheetViews>
  <sheetFormatPr defaultColWidth="8.796875" defaultRowHeight="14.35" x14ac:dyDescent="0.45"/>
  <cols>
    <col min="2" max="2" width="13.33203125" customWidth="1"/>
  </cols>
  <sheetData>
    <row r="1" spans="1:2" x14ac:dyDescent="0.45">
      <c r="A1" t="s">
        <v>0</v>
      </c>
      <c r="B1" t="s">
        <v>1</v>
      </c>
    </row>
    <row r="2" spans="1:2" x14ac:dyDescent="0.45">
      <c r="A2">
        <v>1</v>
      </c>
      <c r="B2" s="1">
        <v>1524.6000000000001</v>
      </c>
    </row>
    <row r="3" spans="1:2" x14ac:dyDescent="0.45">
      <c r="A3">
        <v>2</v>
      </c>
      <c r="B3" s="1">
        <v>1960.2</v>
      </c>
    </row>
    <row r="4" spans="1:2" x14ac:dyDescent="0.45">
      <c r="A4">
        <v>3</v>
      </c>
      <c r="B4" s="1">
        <v>2061.9</v>
      </c>
    </row>
    <row r="5" spans="1:2" x14ac:dyDescent="0.45">
      <c r="A5">
        <v>4</v>
      </c>
      <c r="B5" s="1">
        <v>2214</v>
      </c>
    </row>
    <row r="6" spans="1:2" x14ac:dyDescent="0.45">
      <c r="A6">
        <v>5</v>
      </c>
      <c r="B6" s="1">
        <v>1621.8</v>
      </c>
    </row>
    <row r="7" spans="1:2" x14ac:dyDescent="0.45">
      <c r="A7">
        <v>6</v>
      </c>
      <c r="B7" s="1">
        <v>1926.9</v>
      </c>
    </row>
    <row r="8" spans="1:2" x14ac:dyDescent="0.45">
      <c r="A8">
        <v>7</v>
      </c>
      <c r="B8" s="1">
        <v>1952.1000000000001</v>
      </c>
    </row>
    <row r="9" spans="1:2" x14ac:dyDescent="0.45">
      <c r="A9">
        <v>8</v>
      </c>
      <c r="B9" s="1">
        <v>2214.9</v>
      </c>
    </row>
    <row r="10" spans="1:2" x14ac:dyDescent="0.45">
      <c r="A10">
        <v>9</v>
      </c>
      <c r="B10" s="1">
        <v>2009.7</v>
      </c>
    </row>
    <row r="11" spans="1:2" x14ac:dyDescent="0.45">
      <c r="A11">
        <v>10</v>
      </c>
      <c r="B11" s="1">
        <v>2068.2000000000003</v>
      </c>
    </row>
    <row r="12" spans="1:2" x14ac:dyDescent="0.45">
      <c r="A12">
        <v>11</v>
      </c>
      <c r="B12" s="1">
        <v>1865.7</v>
      </c>
    </row>
    <row r="13" spans="1:2" x14ac:dyDescent="0.45">
      <c r="A13">
        <v>12</v>
      </c>
      <c r="B13" s="1">
        <v>1445.4</v>
      </c>
    </row>
    <row r="14" spans="1:2" x14ac:dyDescent="0.45">
      <c r="A14">
        <v>13</v>
      </c>
      <c r="B14" s="1">
        <v>1723.5</v>
      </c>
    </row>
    <row r="15" spans="1:2" x14ac:dyDescent="0.45">
      <c r="A15">
        <v>14</v>
      </c>
      <c r="B15" s="1">
        <v>2421.1000000000004</v>
      </c>
    </row>
    <row r="16" spans="1:2" x14ac:dyDescent="0.45">
      <c r="A16">
        <v>15</v>
      </c>
      <c r="B16" s="1">
        <v>1797.4</v>
      </c>
    </row>
    <row r="17" spans="1:2" x14ac:dyDescent="0.45">
      <c r="A17">
        <v>16</v>
      </c>
      <c r="B17" s="1">
        <v>2289.1000000000004</v>
      </c>
    </row>
    <row r="18" spans="1:2" x14ac:dyDescent="0.45">
      <c r="A18">
        <v>17</v>
      </c>
      <c r="B18" s="1">
        <v>2072.4</v>
      </c>
    </row>
    <row r="19" spans="1:2" x14ac:dyDescent="0.45">
      <c r="A19">
        <v>18</v>
      </c>
      <c r="B19" s="1">
        <v>2653.2000000000003</v>
      </c>
    </row>
    <row r="20" spans="1:2" x14ac:dyDescent="0.45">
      <c r="A20">
        <v>19</v>
      </c>
      <c r="B20" s="1">
        <v>2557.5</v>
      </c>
    </row>
    <row r="21" spans="1:2" x14ac:dyDescent="0.45">
      <c r="A21">
        <v>20</v>
      </c>
      <c r="B21" s="1">
        <v>1712.7</v>
      </c>
    </row>
    <row r="22" spans="1:2" x14ac:dyDescent="0.45">
      <c r="A22">
        <v>21</v>
      </c>
      <c r="B22" s="1">
        <v>2206.7999999999997</v>
      </c>
    </row>
    <row r="23" spans="1:2" x14ac:dyDescent="0.45">
      <c r="A23">
        <v>22</v>
      </c>
      <c r="B23" s="1">
        <v>2140.7999999999997</v>
      </c>
    </row>
    <row r="24" spans="1:2" x14ac:dyDescent="0.45">
      <c r="A24">
        <v>23</v>
      </c>
      <c r="B24" s="1">
        <v>2546.4</v>
      </c>
    </row>
    <row r="25" spans="1:2" x14ac:dyDescent="0.45">
      <c r="A25">
        <v>24</v>
      </c>
      <c r="B25" s="1">
        <v>2322</v>
      </c>
    </row>
    <row r="26" spans="1:2" x14ac:dyDescent="0.45">
      <c r="A26">
        <v>25</v>
      </c>
      <c r="B26" s="1">
        <v>2295.6</v>
      </c>
    </row>
    <row r="27" spans="1:2" x14ac:dyDescent="0.45">
      <c r="A27">
        <v>26</v>
      </c>
      <c r="B27" s="1">
        <v>2632.7999999999997</v>
      </c>
    </row>
    <row r="28" spans="1:2" x14ac:dyDescent="0.45">
      <c r="A28">
        <v>27</v>
      </c>
      <c r="B28" s="1">
        <v>2574</v>
      </c>
    </row>
    <row r="29" spans="1:2" x14ac:dyDescent="0.45">
      <c r="A29">
        <v>28</v>
      </c>
      <c r="B29" s="1">
        <v>2646</v>
      </c>
    </row>
    <row r="30" spans="1:2" x14ac:dyDescent="0.45">
      <c r="A30">
        <v>29</v>
      </c>
      <c r="B30" s="1">
        <v>2014.8</v>
      </c>
    </row>
    <row r="31" spans="1:2" x14ac:dyDescent="0.45">
      <c r="A31">
        <v>30</v>
      </c>
      <c r="B31" s="1">
        <v>1998</v>
      </c>
    </row>
    <row r="32" spans="1:2" x14ac:dyDescent="0.45">
      <c r="A32">
        <v>31</v>
      </c>
      <c r="B32" s="1">
        <v>2976</v>
      </c>
    </row>
    <row r="33" spans="1:2" x14ac:dyDescent="0.45">
      <c r="A33">
        <v>32</v>
      </c>
      <c r="B33" s="1">
        <v>1867.1999999999998</v>
      </c>
    </row>
    <row r="34" spans="1:2" x14ac:dyDescent="0.45">
      <c r="A34">
        <v>33</v>
      </c>
      <c r="B34" s="1">
        <v>1845.6</v>
      </c>
    </row>
    <row r="35" spans="1:2" x14ac:dyDescent="0.45">
      <c r="A35">
        <v>34</v>
      </c>
      <c r="B35" s="1">
        <v>2764.7999999999997</v>
      </c>
    </row>
    <row r="36" spans="1:2" x14ac:dyDescent="0.45">
      <c r="A36">
        <v>35</v>
      </c>
      <c r="B36" s="1">
        <v>2088</v>
      </c>
    </row>
    <row r="37" spans="1:2" x14ac:dyDescent="0.45">
      <c r="A37">
        <v>36</v>
      </c>
      <c r="B37" s="1">
        <v>2553.6</v>
      </c>
    </row>
    <row r="38" spans="1:2" x14ac:dyDescent="0.45">
      <c r="A38">
        <v>37</v>
      </c>
      <c r="B38" s="1">
        <v>1980</v>
      </c>
    </row>
    <row r="39" spans="1:2" x14ac:dyDescent="0.45">
      <c r="A39">
        <v>38</v>
      </c>
      <c r="B39" s="1">
        <v>2842.7999999999997</v>
      </c>
    </row>
    <row r="40" spans="1:2" x14ac:dyDescent="0.45">
      <c r="A40">
        <v>39</v>
      </c>
      <c r="B40" s="1">
        <v>2328</v>
      </c>
    </row>
    <row r="41" spans="1:2" x14ac:dyDescent="0.45">
      <c r="A41">
        <v>40</v>
      </c>
      <c r="B41" s="1">
        <v>2404</v>
      </c>
    </row>
    <row r="42" spans="1:2" x14ac:dyDescent="0.45">
      <c r="A42">
        <v>41</v>
      </c>
      <c r="B42" s="1">
        <v>1614</v>
      </c>
    </row>
    <row r="43" spans="1:2" x14ac:dyDescent="0.45">
      <c r="A43">
        <v>42</v>
      </c>
      <c r="B43" s="1">
        <v>1851</v>
      </c>
    </row>
    <row r="44" spans="1:2" x14ac:dyDescent="0.45">
      <c r="A44">
        <v>43</v>
      </c>
      <c r="B44" s="1">
        <v>1648</v>
      </c>
    </row>
    <row r="45" spans="1:2" x14ac:dyDescent="0.45">
      <c r="A45">
        <v>44</v>
      </c>
      <c r="B45" s="1">
        <v>1637</v>
      </c>
    </row>
    <row r="46" spans="1:2" x14ac:dyDescent="0.45">
      <c r="A46">
        <v>45</v>
      </c>
      <c r="B46" s="1">
        <v>2211.3000000000002</v>
      </c>
    </row>
    <row r="47" spans="1:2" x14ac:dyDescent="0.45">
      <c r="A47">
        <v>46</v>
      </c>
      <c r="B47" s="1">
        <v>1754.1000000000001</v>
      </c>
    </row>
    <row r="48" spans="1:2" x14ac:dyDescent="0.45">
      <c r="A48">
        <v>47</v>
      </c>
      <c r="B48" s="1">
        <v>1600.2</v>
      </c>
    </row>
    <row r="49" spans="1:2" x14ac:dyDescent="0.45">
      <c r="A49">
        <v>48</v>
      </c>
      <c r="B49" s="1">
        <v>2001.6000000000001</v>
      </c>
    </row>
    <row r="50" spans="1:2" x14ac:dyDescent="0.45">
      <c r="A50">
        <v>49</v>
      </c>
      <c r="B50" s="1">
        <v>1812.6000000000001</v>
      </c>
    </row>
    <row r="51" spans="1:2" x14ac:dyDescent="0.45">
      <c r="A51">
        <v>50</v>
      </c>
      <c r="B51" s="1">
        <v>2025</v>
      </c>
    </row>
    <row r="52" spans="1:2" x14ac:dyDescent="0.45">
      <c r="A52">
        <v>51</v>
      </c>
      <c r="B52" s="1">
        <v>1508.4</v>
      </c>
    </row>
    <row r="53" spans="1:2" x14ac:dyDescent="0.45">
      <c r="A53">
        <v>52</v>
      </c>
      <c r="B53" s="1">
        <v>1693.8</v>
      </c>
    </row>
    <row r="54" spans="1:2" x14ac:dyDescent="0.45">
      <c r="A54">
        <v>53</v>
      </c>
      <c r="B54" s="1">
        <v>2007</v>
      </c>
    </row>
    <row r="55" spans="1:2" x14ac:dyDescent="0.45">
      <c r="A55">
        <v>54</v>
      </c>
      <c r="B55" s="1">
        <v>1642.5</v>
      </c>
    </row>
    <row r="56" spans="1:2" x14ac:dyDescent="0.45">
      <c r="A56">
        <v>55</v>
      </c>
      <c r="B56" s="1">
        <v>1917</v>
      </c>
    </row>
    <row r="57" spans="1:2" x14ac:dyDescent="0.45">
      <c r="A57">
        <v>56</v>
      </c>
      <c r="B57" s="1">
        <v>1721.7</v>
      </c>
    </row>
    <row r="58" spans="1:2" x14ac:dyDescent="0.45">
      <c r="A58">
        <v>57</v>
      </c>
      <c r="B58" s="1">
        <v>1440</v>
      </c>
    </row>
    <row r="59" spans="1:2" x14ac:dyDescent="0.45">
      <c r="A59">
        <v>58</v>
      </c>
      <c r="B59" s="1">
        <v>1775.7</v>
      </c>
    </row>
    <row r="60" spans="1:2" x14ac:dyDescent="0.45">
      <c r="A60">
        <v>59</v>
      </c>
      <c r="B60" s="1">
        <v>2242.8000000000002</v>
      </c>
    </row>
    <row r="61" spans="1:2" x14ac:dyDescent="0.45">
      <c r="A61">
        <v>60</v>
      </c>
      <c r="B61" s="1">
        <v>1638.9</v>
      </c>
    </row>
    <row r="62" spans="1:2" x14ac:dyDescent="0.45">
      <c r="A62">
        <v>61</v>
      </c>
      <c r="B62" s="1">
        <v>1717.2</v>
      </c>
    </row>
    <row r="63" spans="1:2" x14ac:dyDescent="0.45">
      <c r="A63">
        <v>62</v>
      </c>
      <c r="B63" s="1">
        <v>2664.2000000000003</v>
      </c>
    </row>
    <row r="64" spans="1:2" x14ac:dyDescent="0.45">
      <c r="A64">
        <v>63</v>
      </c>
      <c r="B64" s="1">
        <v>2063.6000000000004</v>
      </c>
    </row>
    <row r="65" spans="1:2" x14ac:dyDescent="0.45">
      <c r="A65">
        <v>64</v>
      </c>
      <c r="B65" s="1">
        <v>1993.2000000000003</v>
      </c>
    </row>
    <row r="66" spans="1:2" x14ac:dyDescent="0.45">
      <c r="A66">
        <v>65</v>
      </c>
      <c r="B66" s="1">
        <v>1870.0000000000002</v>
      </c>
    </row>
    <row r="67" spans="1:2" x14ac:dyDescent="0.45">
      <c r="A67">
        <v>66</v>
      </c>
      <c r="B67" s="1">
        <v>2328</v>
      </c>
    </row>
    <row r="68" spans="1:2" x14ac:dyDescent="0.45">
      <c r="A68">
        <v>67</v>
      </c>
      <c r="B68" s="1">
        <v>1825.2</v>
      </c>
    </row>
    <row r="69" spans="1:2" x14ac:dyDescent="0.45">
      <c r="A69">
        <v>68</v>
      </c>
      <c r="B69" s="1">
        <v>2660.4</v>
      </c>
    </row>
    <row r="70" spans="1:2" x14ac:dyDescent="0.45">
      <c r="A70">
        <v>69</v>
      </c>
      <c r="B70" s="1">
        <v>2955.6</v>
      </c>
    </row>
    <row r="71" spans="1:2" x14ac:dyDescent="0.45">
      <c r="A71">
        <v>70</v>
      </c>
      <c r="B71" s="1">
        <v>2642.4</v>
      </c>
    </row>
    <row r="72" spans="1:2" x14ac:dyDescent="0.45">
      <c r="A72">
        <v>71</v>
      </c>
      <c r="B72" s="1">
        <v>2485.1999999999998</v>
      </c>
    </row>
    <row r="73" spans="1:2" x14ac:dyDescent="0.45">
      <c r="A73">
        <v>72</v>
      </c>
      <c r="B73" s="1">
        <v>2701.2</v>
      </c>
    </row>
    <row r="74" spans="1:2" x14ac:dyDescent="0.45">
      <c r="A74">
        <v>73</v>
      </c>
      <c r="B74" s="1">
        <v>2676</v>
      </c>
    </row>
    <row r="75" spans="1:2" x14ac:dyDescent="0.45">
      <c r="A75">
        <v>74</v>
      </c>
      <c r="B75" s="1">
        <v>2470.7999999999997</v>
      </c>
    </row>
    <row r="76" spans="1:2" x14ac:dyDescent="0.45">
      <c r="A76">
        <v>75</v>
      </c>
      <c r="B76" s="1">
        <v>2274</v>
      </c>
    </row>
    <row r="77" spans="1:2" x14ac:dyDescent="0.45">
      <c r="A77">
        <v>76</v>
      </c>
      <c r="B77" s="1">
        <v>2916</v>
      </c>
    </row>
    <row r="78" spans="1:2" x14ac:dyDescent="0.45">
      <c r="A78">
        <v>77</v>
      </c>
      <c r="B78" s="1">
        <v>2569.1999999999998</v>
      </c>
    </row>
    <row r="79" spans="1:2" x14ac:dyDescent="0.45">
      <c r="A79">
        <v>78</v>
      </c>
      <c r="B79" s="1">
        <v>2727.6</v>
      </c>
    </row>
    <row r="80" spans="1:2" x14ac:dyDescent="0.45">
      <c r="A80">
        <v>79</v>
      </c>
      <c r="B80" s="1">
        <v>2744.4</v>
      </c>
    </row>
    <row r="81" spans="1:2" x14ac:dyDescent="0.45">
      <c r="A81">
        <v>80</v>
      </c>
      <c r="B81" s="1">
        <v>2062.7999999999997</v>
      </c>
    </row>
    <row r="82" spans="1:2" x14ac:dyDescent="0.45">
      <c r="A82">
        <v>81</v>
      </c>
      <c r="B82" s="1">
        <v>2218.7999999999997</v>
      </c>
    </row>
    <row r="83" spans="1:2" x14ac:dyDescent="0.45">
      <c r="A83">
        <v>82</v>
      </c>
      <c r="B83" s="1">
        <v>2696.4</v>
      </c>
    </row>
    <row r="84" spans="1:2" x14ac:dyDescent="0.45">
      <c r="A84">
        <v>83</v>
      </c>
      <c r="B84" s="1">
        <v>2526</v>
      </c>
    </row>
    <row r="85" spans="1:2" x14ac:dyDescent="0.45">
      <c r="A85">
        <v>84</v>
      </c>
      <c r="B85" s="1">
        <v>2016</v>
      </c>
    </row>
    <row r="86" spans="1:2" x14ac:dyDescent="0.45">
      <c r="A86">
        <v>85</v>
      </c>
      <c r="B86" s="1">
        <v>2952</v>
      </c>
    </row>
    <row r="87" spans="1:2" x14ac:dyDescent="0.45">
      <c r="A87">
        <v>86</v>
      </c>
      <c r="B87" s="1">
        <v>2457.6</v>
      </c>
    </row>
    <row r="88" spans="1:2" x14ac:dyDescent="0.45">
      <c r="A88">
        <v>87</v>
      </c>
      <c r="B88" s="1">
        <v>2907.6</v>
      </c>
    </row>
    <row r="89" spans="1:2" x14ac:dyDescent="0.45">
      <c r="A89">
        <v>88</v>
      </c>
      <c r="B89" s="1">
        <v>1694.0000000000002</v>
      </c>
    </row>
    <row r="90" spans="1:2" x14ac:dyDescent="0.45">
      <c r="A90">
        <v>89</v>
      </c>
      <c r="B90" s="1">
        <v>2560.8000000000002</v>
      </c>
    </row>
    <row r="91" spans="1:2" x14ac:dyDescent="0.45">
      <c r="A91">
        <v>90</v>
      </c>
      <c r="B91" s="1">
        <v>1687.4</v>
      </c>
    </row>
    <row r="92" spans="1:2" x14ac:dyDescent="0.45">
      <c r="A92">
        <v>91</v>
      </c>
      <c r="B92" s="1">
        <v>1772.1000000000001</v>
      </c>
    </row>
    <row r="93" spans="1:2" x14ac:dyDescent="0.45">
      <c r="A93">
        <v>92</v>
      </c>
      <c r="B93" s="1">
        <v>1855</v>
      </c>
    </row>
    <row r="94" spans="1:2" x14ac:dyDescent="0.45">
      <c r="A94">
        <v>93</v>
      </c>
      <c r="B94" s="1">
        <v>2068</v>
      </c>
    </row>
    <row r="95" spans="1:2" x14ac:dyDescent="0.45">
      <c r="A95">
        <v>94</v>
      </c>
      <c r="B95" s="1">
        <v>2169.9</v>
      </c>
    </row>
    <row r="96" spans="1:2" x14ac:dyDescent="0.45">
      <c r="A96">
        <v>95</v>
      </c>
      <c r="B96" s="1">
        <v>1863.9</v>
      </c>
    </row>
    <row r="97" spans="1:2" x14ac:dyDescent="0.45">
      <c r="A97">
        <v>96</v>
      </c>
      <c r="B97" s="1">
        <v>1507.5</v>
      </c>
    </row>
    <row r="98" spans="1:2" x14ac:dyDescent="0.45">
      <c r="A98">
        <v>97</v>
      </c>
      <c r="B98" s="1">
        <v>1621.8</v>
      </c>
    </row>
    <row r="99" spans="1:2" x14ac:dyDescent="0.45">
      <c r="A99">
        <v>98</v>
      </c>
      <c r="B99" s="1">
        <v>1635.3</v>
      </c>
    </row>
    <row r="100" spans="1:2" x14ac:dyDescent="0.45">
      <c r="A100">
        <v>99</v>
      </c>
      <c r="B100" s="1">
        <v>1503</v>
      </c>
    </row>
    <row r="101" spans="1:2" x14ac:dyDescent="0.45">
      <c r="A101">
        <v>100</v>
      </c>
      <c r="B101" s="1">
        <v>1799.1000000000001</v>
      </c>
    </row>
    <row r="102" spans="1:2" x14ac:dyDescent="0.45">
      <c r="A102">
        <v>101</v>
      </c>
      <c r="B102" s="1">
        <v>2171.7000000000003</v>
      </c>
    </row>
    <row r="103" spans="1:2" x14ac:dyDescent="0.45">
      <c r="A103">
        <v>102</v>
      </c>
      <c r="B103" s="1">
        <v>1475.1000000000001</v>
      </c>
    </row>
    <row r="104" spans="1:2" x14ac:dyDescent="0.45">
      <c r="A104">
        <v>103</v>
      </c>
      <c r="B104" s="1">
        <v>1984.5</v>
      </c>
    </row>
    <row r="105" spans="1:2" x14ac:dyDescent="0.45">
      <c r="A105">
        <v>104</v>
      </c>
      <c r="B105" s="1">
        <v>1476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0"/>
  <sheetViews>
    <sheetView tabSelected="1" workbookViewId="0">
      <selection activeCell="G3" sqref="G3"/>
    </sheetView>
  </sheetViews>
  <sheetFormatPr defaultColWidth="8.796875" defaultRowHeight="14.35" x14ac:dyDescent="0.45"/>
  <cols>
    <col min="1" max="1" width="8.796875" style="1"/>
    <col min="2" max="2" width="13.33203125" style="1" customWidth="1"/>
  </cols>
  <sheetData>
    <row r="1" spans="1:7" x14ac:dyDescent="0.45">
      <c r="A1" s="1" t="s">
        <v>0</v>
      </c>
      <c r="B1" s="1" t="s">
        <v>1</v>
      </c>
      <c r="C1" t="s">
        <v>2</v>
      </c>
      <c r="D1" t="s">
        <v>5</v>
      </c>
      <c r="E1" t="s">
        <v>6</v>
      </c>
      <c r="G1" t="s">
        <v>4</v>
      </c>
    </row>
    <row r="2" spans="1:7" x14ac:dyDescent="0.45">
      <c r="A2" s="1">
        <v>1</v>
      </c>
      <c r="B2" s="1">
        <v>1524.6000000000001</v>
      </c>
      <c r="C2" s="1">
        <f>B2</f>
        <v>1524.6000000000001</v>
      </c>
      <c r="D2">
        <f>ABS((B2-C2)/B2)</f>
        <v>0</v>
      </c>
      <c r="E2">
        <f>AVERAGE(D:D)</f>
        <v>0.25462793749903306</v>
      </c>
      <c r="G2">
        <v>0</v>
      </c>
    </row>
    <row r="3" spans="1:7" x14ac:dyDescent="0.45">
      <c r="A3" s="1">
        <v>2</v>
      </c>
      <c r="B3" s="1">
        <v>1960.2</v>
      </c>
      <c r="C3" s="1">
        <f t="shared" ref="C3:C34" si="0">C2+alpha_s*(B2-C2)</f>
        <v>1524.6000000000001</v>
      </c>
      <c r="D3">
        <f t="shared" ref="D3:D66" si="1">ABS((B3-C3)/B3)</f>
        <v>0.22222222222222218</v>
      </c>
    </row>
    <row r="4" spans="1:7" x14ac:dyDescent="0.45">
      <c r="A4" s="1">
        <v>3</v>
      </c>
      <c r="B4" s="1">
        <v>2061.9</v>
      </c>
      <c r="C4" s="1">
        <f t="shared" si="0"/>
        <v>1524.6000000000001</v>
      </c>
      <c r="D4">
        <f t="shared" si="1"/>
        <v>0.26058489742470531</v>
      </c>
    </row>
    <row r="5" spans="1:7" x14ac:dyDescent="0.45">
      <c r="A5" s="1">
        <v>4</v>
      </c>
      <c r="B5" s="1">
        <v>2214</v>
      </c>
      <c r="C5" s="1">
        <f t="shared" si="0"/>
        <v>1524.6000000000001</v>
      </c>
      <c r="D5">
        <f t="shared" si="1"/>
        <v>0.31138211382113817</v>
      </c>
    </row>
    <row r="6" spans="1:7" x14ac:dyDescent="0.45">
      <c r="A6" s="1">
        <v>5</v>
      </c>
      <c r="B6" s="1">
        <v>1621.8</v>
      </c>
      <c r="C6" s="1">
        <f t="shared" si="0"/>
        <v>1524.6000000000001</v>
      </c>
      <c r="D6">
        <f t="shared" si="1"/>
        <v>5.9933407325194116E-2</v>
      </c>
    </row>
    <row r="7" spans="1:7" x14ac:dyDescent="0.45">
      <c r="A7" s="1">
        <v>6</v>
      </c>
      <c r="B7" s="1">
        <v>1926.9</v>
      </c>
      <c r="C7" s="1">
        <f t="shared" si="0"/>
        <v>1524.6000000000001</v>
      </c>
      <c r="D7">
        <f t="shared" si="1"/>
        <v>0.20878094348435308</v>
      </c>
    </row>
    <row r="8" spans="1:7" x14ac:dyDescent="0.45">
      <c r="A8" s="1">
        <v>7</v>
      </c>
      <c r="B8" s="1">
        <v>1952.1000000000001</v>
      </c>
      <c r="C8" s="1">
        <f t="shared" si="0"/>
        <v>1524.6000000000001</v>
      </c>
      <c r="D8">
        <f t="shared" si="1"/>
        <v>0.21899492853849697</v>
      </c>
    </row>
    <row r="9" spans="1:7" x14ac:dyDescent="0.45">
      <c r="A9" s="1">
        <v>8</v>
      </c>
      <c r="B9" s="1">
        <v>2214.9</v>
      </c>
      <c r="C9" s="1">
        <f t="shared" si="0"/>
        <v>1524.6000000000001</v>
      </c>
      <c r="D9">
        <f t="shared" si="1"/>
        <v>0.31166192604632259</v>
      </c>
    </row>
    <row r="10" spans="1:7" x14ac:dyDescent="0.45">
      <c r="A10" s="1">
        <v>9</v>
      </c>
      <c r="B10" s="1">
        <v>2009.7</v>
      </c>
      <c r="C10" s="1">
        <f t="shared" si="0"/>
        <v>1524.6000000000001</v>
      </c>
      <c r="D10">
        <f t="shared" si="1"/>
        <v>0.24137931034482754</v>
      </c>
    </row>
    <row r="11" spans="1:7" x14ac:dyDescent="0.45">
      <c r="A11" s="1">
        <v>10</v>
      </c>
      <c r="B11" s="1">
        <v>2068.2000000000003</v>
      </c>
      <c r="C11" s="1">
        <f t="shared" si="0"/>
        <v>1524.6000000000001</v>
      </c>
      <c r="D11">
        <f t="shared" si="1"/>
        <v>0.26283724978241951</v>
      </c>
    </row>
    <row r="12" spans="1:7" x14ac:dyDescent="0.45">
      <c r="A12" s="1">
        <v>11</v>
      </c>
      <c r="B12" s="1">
        <v>1865.7</v>
      </c>
      <c r="C12" s="1">
        <f t="shared" si="0"/>
        <v>1524.6000000000001</v>
      </c>
      <c r="D12">
        <f t="shared" si="1"/>
        <v>0.18282682103232026</v>
      </c>
    </row>
    <row r="13" spans="1:7" x14ac:dyDescent="0.45">
      <c r="A13" s="1">
        <v>12</v>
      </c>
      <c r="B13" s="1">
        <v>1445.4</v>
      </c>
      <c r="C13" s="1">
        <f t="shared" si="0"/>
        <v>1524.6000000000001</v>
      </c>
      <c r="D13">
        <f t="shared" si="1"/>
        <v>5.479452054794523E-2</v>
      </c>
    </row>
    <row r="14" spans="1:7" x14ac:dyDescent="0.45">
      <c r="A14" s="1">
        <v>13</v>
      </c>
      <c r="B14" s="1">
        <v>1723.5</v>
      </c>
      <c r="C14" s="1">
        <f t="shared" si="0"/>
        <v>1524.6000000000001</v>
      </c>
      <c r="D14">
        <f t="shared" si="1"/>
        <v>0.11540469973890331</v>
      </c>
    </row>
    <row r="15" spans="1:7" x14ac:dyDescent="0.45">
      <c r="A15" s="1">
        <v>14</v>
      </c>
      <c r="B15" s="1">
        <v>2421.1000000000004</v>
      </c>
      <c r="C15" s="1">
        <f t="shared" si="0"/>
        <v>1524.6000000000001</v>
      </c>
      <c r="D15">
        <f t="shared" si="1"/>
        <v>0.37028623353021356</v>
      </c>
    </row>
    <row r="16" spans="1:7" x14ac:dyDescent="0.45">
      <c r="A16" s="1">
        <v>15</v>
      </c>
      <c r="B16" s="1">
        <v>1797.4</v>
      </c>
      <c r="C16" s="1">
        <f t="shared" si="0"/>
        <v>1524.6000000000001</v>
      </c>
      <c r="D16">
        <f t="shared" si="1"/>
        <v>0.15177478580171355</v>
      </c>
    </row>
    <row r="17" spans="1:18" x14ac:dyDescent="0.45">
      <c r="A17" s="1">
        <v>16</v>
      </c>
      <c r="B17" s="1">
        <v>2289.1000000000004</v>
      </c>
      <c r="C17" s="1">
        <f t="shared" si="0"/>
        <v>1524.6000000000001</v>
      </c>
      <c r="D17">
        <f t="shared" si="1"/>
        <v>0.33397405093704952</v>
      </c>
    </row>
    <row r="18" spans="1:18" x14ac:dyDescent="0.45">
      <c r="A18" s="1">
        <v>17</v>
      </c>
      <c r="B18" s="1">
        <v>2072.4</v>
      </c>
      <c r="C18" s="1">
        <f t="shared" si="0"/>
        <v>1524.6000000000001</v>
      </c>
      <c r="D18">
        <f t="shared" si="1"/>
        <v>0.26433121019108274</v>
      </c>
    </row>
    <row r="19" spans="1:18" x14ac:dyDescent="0.45">
      <c r="A19" s="1">
        <v>18</v>
      </c>
      <c r="B19" s="1">
        <v>2653.2000000000003</v>
      </c>
      <c r="C19" s="1">
        <f t="shared" si="0"/>
        <v>1524.6000000000001</v>
      </c>
      <c r="D19">
        <f t="shared" si="1"/>
        <v>0.42537313432835822</v>
      </c>
    </row>
    <row r="20" spans="1:18" x14ac:dyDescent="0.45">
      <c r="A20" s="1">
        <v>19</v>
      </c>
      <c r="B20" s="1">
        <v>2557.5</v>
      </c>
      <c r="C20" s="1">
        <f t="shared" si="0"/>
        <v>1524.6000000000001</v>
      </c>
      <c r="D20">
        <f t="shared" si="1"/>
        <v>0.40387096774193543</v>
      </c>
      <c r="Q20">
        <v>200</v>
      </c>
    </row>
    <row r="21" spans="1:18" x14ac:dyDescent="0.45">
      <c r="A21" s="1">
        <v>20</v>
      </c>
      <c r="B21" s="1">
        <v>1712.7</v>
      </c>
      <c r="C21" s="1">
        <f t="shared" si="0"/>
        <v>1524.6000000000001</v>
      </c>
      <c r="D21">
        <f t="shared" si="1"/>
        <v>0.10982658959537567</v>
      </c>
      <c r="Q21">
        <v>250</v>
      </c>
    </row>
    <row r="22" spans="1:18" x14ac:dyDescent="0.45">
      <c r="A22" s="1">
        <v>21</v>
      </c>
      <c r="B22" s="1">
        <v>2206.7999999999997</v>
      </c>
      <c r="C22" s="1">
        <f t="shared" si="0"/>
        <v>1524.6000000000001</v>
      </c>
      <c r="D22">
        <f t="shared" si="1"/>
        <v>0.3091353996737356</v>
      </c>
      <c r="Q22">
        <v>347</v>
      </c>
    </row>
    <row r="23" spans="1:18" x14ac:dyDescent="0.45">
      <c r="A23" s="1">
        <v>22</v>
      </c>
      <c r="B23" s="1">
        <v>2140.7999999999997</v>
      </c>
      <c r="C23" s="1">
        <f t="shared" si="0"/>
        <v>1524.6000000000001</v>
      </c>
      <c r="D23">
        <f t="shared" si="1"/>
        <v>0.28783632286995497</v>
      </c>
      <c r="Q23">
        <v>406</v>
      </c>
    </row>
    <row r="24" spans="1:18" x14ac:dyDescent="0.45">
      <c r="A24" s="1">
        <v>23</v>
      </c>
      <c r="B24" s="1">
        <v>2546.4</v>
      </c>
      <c r="C24" s="1">
        <f t="shared" si="0"/>
        <v>1524.6000000000001</v>
      </c>
      <c r="D24">
        <f t="shared" si="1"/>
        <v>0.40127238454288405</v>
      </c>
      <c r="Q24">
        <v>451</v>
      </c>
    </row>
    <row r="25" spans="1:18" x14ac:dyDescent="0.45">
      <c r="A25" s="1">
        <v>24</v>
      </c>
      <c r="B25" s="1">
        <v>2322</v>
      </c>
      <c r="C25" s="1">
        <f t="shared" si="0"/>
        <v>1524.6000000000001</v>
      </c>
      <c r="D25">
        <f t="shared" si="1"/>
        <v>0.34341085271317823</v>
      </c>
      <c r="Q25">
        <v>512</v>
      </c>
    </row>
    <row r="26" spans="1:18" x14ac:dyDescent="0.45">
      <c r="A26" s="1">
        <v>25</v>
      </c>
      <c r="B26" s="1">
        <v>2295.6</v>
      </c>
      <c r="C26" s="1">
        <f t="shared" si="0"/>
        <v>1524.6000000000001</v>
      </c>
      <c r="D26">
        <f t="shared" si="1"/>
        <v>0.33585990590695236</v>
      </c>
      <c r="R26">
        <v>550</v>
      </c>
    </row>
    <row r="27" spans="1:18" x14ac:dyDescent="0.45">
      <c r="A27" s="1">
        <v>26</v>
      </c>
      <c r="B27" s="1">
        <v>2632.7999999999997</v>
      </c>
      <c r="C27" s="1">
        <f t="shared" si="0"/>
        <v>1524.6000000000001</v>
      </c>
      <c r="D27">
        <f t="shared" si="1"/>
        <v>0.42092069279854138</v>
      </c>
    </row>
    <row r="28" spans="1:18" x14ac:dyDescent="0.45">
      <c r="A28" s="1">
        <v>27</v>
      </c>
      <c r="B28" s="1">
        <v>2574</v>
      </c>
      <c r="C28" s="1">
        <f t="shared" si="0"/>
        <v>1524.6000000000001</v>
      </c>
      <c r="D28">
        <f t="shared" si="1"/>
        <v>0.40769230769230763</v>
      </c>
    </row>
    <row r="29" spans="1:18" x14ac:dyDescent="0.45">
      <c r="A29" s="1">
        <v>28</v>
      </c>
      <c r="B29" s="1">
        <v>2646</v>
      </c>
      <c r="C29" s="1">
        <f t="shared" si="0"/>
        <v>1524.6000000000001</v>
      </c>
      <c r="D29">
        <f t="shared" si="1"/>
        <v>0.42380952380952375</v>
      </c>
    </row>
    <row r="30" spans="1:18" x14ac:dyDescent="0.45">
      <c r="A30" s="1">
        <v>29</v>
      </c>
      <c r="B30" s="1">
        <v>2014.8</v>
      </c>
      <c r="C30" s="1">
        <f t="shared" si="0"/>
        <v>1524.6000000000001</v>
      </c>
      <c r="D30">
        <f t="shared" si="1"/>
        <v>0.24329958308516966</v>
      </c>
    </row>
    <row r="31" spans="1:18" x14ac:dyDescent="0.45">
      <c r="A31" s="1">
        <v>30</v>
      </c>
      <c r="B31" s="1">
        <v>1998</v>
      </c>
      <c r="C31" s="1">
        <f t="shared" si="0"/>
        <v>1524.6000000000001</v>
      </c>
      <c r="D31">
        <f t="shared" si="1"/>
        <v>0.23693693693693688</v>
      </c>
    </row>
    <row r="32" spans="1:18" x14ac:dyDescent="0.45">
      <c r="A32" s="1">
        <v>31</v>
      </c>
      <c r="B32" s="1">
        <v>2976</v>
      </c>
      <c r="C32" s="1">
        <f t="shared" si="0"/>
        <v>1524.6000000000001</v>
      </c>
      <c r="D32">
        <f t="shared" si="1"/>
        <v>0.48770161290322578</v>
      </c>
    </row>
    <row r="33" spans="1:4" x14ac:dyDescent="0.45">
      <c r="A33" s="1">
        <v>32</v>
      </c>
      <c r="B33" s="1">
        <v>1867.1999999999998</v>
      </c>
      <c r="C33" s="1">
        <f t="shared" si="0"/>
        <v>1524.6000000000001</v>
      </c>
      <c r="D33">
        <f t="shared" si="1"/>
        <v>0.18348329048843173</v>
      </c>
    </row>
    <row r="34" spans="1:4" x14ac:dyDescent="0.45">
      <c r="A34" s="1">
        <v>33</v>
      </c>
      <c r="B34" s="1">
        <v>1845.6</v>
      </c>
      <c r="C34" s="1">
        <f t="shared" si="0"/>
        <v>1524.6000000000001</v>
      </c>
      <c r="D34">
        <f t="shared" si="1"/>
        <v>0.17392717815344591</v>
      </c>
    </row>
    <row r="35" spans="1:4" x14ac:dyDescent="0.45">
      <c r="A35" s="1">
        <v>34</v>
      </c>
      <c r="B35" s="1">
        <v>2764.7999999999997</v>
      </c>
      <c r="C35" s="1">
        <f t="shared" ref="C35:C66" si="2">C34+alpha_s*(B34-C34)</f>
        <v>1524.6000000000001</v>
      </c>
      <c r="D35">
        <f t="shared" si="1"/>
        <v>0.4485677083333332</v>
      </c>
    </row>
    <row r="36" spans="1:4" x14ac:dyDescent="0.45">
      <c r="A36" s="1">
        <v>35</v>
      </c>
      <c r="B36" s="1">
        <v>2088</v>
      </c>
      <c r="C36" s="1">
        <f t="shared" si="2"/>
        <v>1524.6000000000001</v>
      </c>
      <c r="D36">
        <f t="shared" si="1"/>
        <v>0.26982758620689651</v>
      </c>
    </row>
    <row r="37" spans="1:4" x14ac:dyDescent="0.45">
      <c r="A37" s="1">
        <v>36</v>
      </c>
      <c r="B37" s="1">
        <v>2553.6</v>
      </c>
      <c r="C37" s="1">
        <f t="shared" si="2"/>
        <v>1524.6000000000001</v>
      </c>
      <c r="D37">
        <f t="shared" si="1"/>
        <v>0.40296052631578938</v>
      </c>
    </row>
    <row r="38" spans="1:4" x14ac:dyDescent="0.45">
      <c r="A38" s="1">
        <v>37</v>
      </c>
      <c r="B38" s="1">
        <v>1980</v>
      </c>
      <c r="C38" s="1">
        <f t="shared" si="2"/>
        <v>1524.6000000000001</v>
      </c>
      <c r="D38">
        <f t="shared" si="1"/>
        <v>0.22999999999999993</v>
      </c>
    </row>
    <row r="39" spans="1:4" x14ac:dyDescent="0.45">
      <c r="A39" s="1">
        <v>38</v>
      </c>
      <c r="B39" s="1">
        <v>2842.7999999999997</v>
      </c>
      <c r="C39" s="1">
        <f t="shared" si="2"/>
        <v>1524.6000000000001</v>
      </c>
      <c r="D39">
        <f t="shared" si="1"/>
        <v>0.4636977627691008</v>
      </c>
    </row>
    <row r="40" spans="1:4" x14ac:dyDescent="0.45">
      <c r="A40" s="1">
        <v>39</v>
      </c>
      <c r="B40" s="1">
        <v>2328</v>
      </c>
      <c r="C40" s="1">
        <f t="shared" si="2"/>
        <v>1524.6000000000001</v>
      </c>
      <c r="D40">
        <f t="shared" si="1"/>
        <v>0.34510309278350509</v>
      </c>
    </row>
    <row r="41" spans="1:4" x14ac:dyDescent="0.45">
      <c r="A41" s="1">
        <v>40</v>
      </c>
      <c r="B41" s="1">
        <v>2404</v>
      </c>
      <c r="C41" s="1">
        <f t="shared" si="2"/>
        <v>1524.6000000000001</v>
      </c>
      <c r="D41">
        <f t="shared" si="1"/>
        <v>0.36580698835274539</v>
      </c>
    </row>
    <row r="42" spans="1:4" x14ac:dyDescent="0.45">
      <c r="A42" s="1">
        <v>41</v>
      </c>
      <c r="B42" s="1">
        <v>1614</v>
      </c>
      <c r="C42" s="1">
        <f t="shared" si="2"/>
        <v>1524.6000000000001</v>
      </c>
      <c r="D42">
        <f t="shared" si="1"/>
        <v>5.5390334572490624E-2</v>
      </c>
    </row>
    <row r="43" spans="1:4" x14ac:dyDescent="0.45">
      <c r="A43" s="1">
        <v>42</v>
      </c>
      <c r="B43" s="1">
        <v>1851</v>
      </c>
      <c r="C43" s="1">
        <f t="shared" si="2"/>
        <v>1524.6000000000001</v>
      </c>
      <c r="D43">
        <f t="shared" si="1"/>
        <v>0.17633711507293348</v>
      </c>
    </row>
    <row r="44" spans="1:4" x14ac:dyDescent="0.45">
      <c r="A44" s="1">
        <v>43</v>
      </c>
      <c r="B44" s="1">
        <v>1648</v>
      </c>
      <c r="C44" s="1">
        <f t="shared" si="2"/>
        <v>1524.6000000000001</v>
      </c>
      <c r="D44">
        <f t="shared" si="1"/>
        <v>7.4878640776698951E-2</v>
      </c>
    </row>
    <row r="45" spans="1:4" x14ac:dyDescent="0.45">
      <c r="A45" s="1">
        <v>44</v>
      </c>
      <c r="B45" s="1">
        <v>1637</v>
      </c>
      <c r="C45" s="1">
        <f t="shared" si="2"/>
        <v>1524.6000000000001</v>
      </c>
      <c r="D45">
        <f t="shared" si="1"/>
        <v>6.8662186927305968E-2</v>
      </c>
    </row>
    <row r="46" spans="1:4" x14ac:dyDescent="0.45">
      <c r="A46" s="1">
        <v>45</v>
      </c>
      <c r="B46" s="1">
        <v>2211.3000000000002</v>
      </c>
      <c r="C46" s="1">
        <f t="shared" si="2"/>
        <v>1524.6000000000001</v>
      </c>
      <c r="D46">
        <f t="shared" si="1"/>
        <v>0.31054131054131051</v>
      </c>
    </row>
    <row r="47" spans="1:4" x14ac:dyDescent="0.45">
      <c r="A47" s="1">
        <v>46</v>
      </c>
      <c r="B47" s="1">
        <v>1754.1000000000001</v>
      </c>
      <c r="C47" s="1">
        <f t="shared" si="2"/>
        <v>1524.6000000000001</v>
      </c>
      <c r="D47">
        <f t="shared" si="1"/>
        <v>0.13083632632119035</v>
      </c>
    </row>
    <row r="48" spans="1:4" x14ac:dyDescent="0.45">
      <c r="A48" s="1">
        <v>47</v>
      </c>
      <c r="B48" s="1">
        <v>1600.2</v>
      </c>
      <c r="C48" s="1">
        <f t="shared" si="2"/>
        <v>1524.6000000000001</v>
      </c>
      <c r="D48">
        <f t="shared" si="1"/>
        <v>4.724409448818892E-2</v>
      </c>
    </row>
    <row r="49" spans="1:4" x14ac:dyDescent="0.45">
      <c r="A49" s="1">
        <v>48</v>
      </c>
      <c r="B49" s="1">
        <v>2001.6000000000001</v>
      </c>
      <c r="C49" s="1">
        <f t="shared" si="2"/>
        <v>1524.6000000000001</v>
      </c>
      <c r="D49">
        <f t="shared" si="1"/>
        <v>0.2383093525179856</v>
      </c>
    </row>
    <row r="50" spans="1:4" x14ac:dyDescent="0.45">
      <c r="A50" s="1">
        <v>49</v>
      </c>
      <c r="B50" s="1">
        <v>1812.6000000000001</v>
      </c>
      <c r="C50" s="1">
        <f t="shared" si="2"/>
        <v>1524.6000000000001</v>
      </c>
      <c r="D50">
        <f t="shared" si="1"/>
        <v>0.15888778550148955</v>
      </c>
    </row>
    <row r="51" spans="1:4" x14ac:dyDescent="0.45">
      <c r="A51" s="1">
        <v>50</v>
      </c>
      <c r="B51" s="1">
        <v>2025</v>
      </c>
      <c r="C51" s="1">
        <f t="shared" si="2"/>
        <v>1524.6000000000001</v>
      </c>
      <c r="D51">
        <f t="shared" si="1"/>
        <v>0.24711111111111103</v>
      </c>
    </row>
    <row r="52" spans="1:4" x14ac:dyDescent="0.45">
      <c r="A52" s="1">
        <v>51</v>
      </c>
      <c r="B52" s="1">
        <v>1508.4</v>
      </c>
      <c r="C52" s="1">
        <f t="shared" si="2"/>
        <v>1524.6000000000001</v>
      </c>
      <c r="D52">
        <f t="shared" si="1"/>
        <v>1.0739856801909337E-2</v>
      </c>
    </row>
    <row r="53" spans="1:4" x14ac:dyDescent="0.45">
      <c r="A53" s="1">
        <v>52</v>
      </c>
      <c r="B53" s="1">
        <v>1693.8</v>
      </c>
      <c r="C53" s="1">
        <f t="shared" si="2"/>
        <v>1524.6000000000001</v>
      </c>
      <c r="D53">
        <f t="shared" si="1"/>
        <v>9.9893730074388842E-2</v>
      </c>
    </row>
    <row r="54" spans="1:4" x14ac:dyDescent="0.45">
      <c r="A54" s="1">
        <v>53</v>
      </c>
      <c r="B54" s="1">
        <v>2007</v>
      </c>
      <c r="C54" s="1">
        <f t="shared" si="2"/>
        <v>1524.6000000000001</v>
      </c>
      <c r="D54">
        <f t="shared" si="1"/>
        <v>0.24035874439461877</v>
      </c>
    </row>
    <row r="55" spans="1:4" x14ac:dyDescent="0.45">
      <c r="A55" s="1">
        <v>54</v>
      </c>
      <c r="B55" s="1">
        <v>1642.5</v>
      </c>
      <c r="C55" s="1">
        <f t="shared" si="2"/>
        <v>1524.6000000000001</v>
      </c>
      <c r="D55">
        <f t="shared" si="1"/>
        <v>7.178082191780813E-2</v>
      </c>
    </row>
    <row r="56" spans="1:4" x14ac:dyDescent="0.45">
      <c r="A56" s="1">
        <v>55</v>
      </c>
      <c r="B56" s="1">
        <v>1917</v>
      </c>
      <c r="C56" s="1">
        <f t="shared" si="2"/>
        <v>1524.6000000000001</v>
      </c>
      <c r="D56">
        <f t="shared" si="1"/>
        <v>0.20469483568075111</v>
      </c>
    </row>
    <row r="57" spans="1:4" x14ac:dyDescent="0.45">
      <c r="A57" s="1">
        <v>56</v>
      </c>
      <c r="B57" s="1">
        <v>1721.7</v>
      </c>
      <c r="C57" s="1">
        <f t="shared" si="2"/>
        <v>1524.6000000000001</v>
      </c>
      <c r="D57">
        <f t="shared" si="1"/>
        <v>0.11447987454260318</v>
      </c>
    </row>
    <row r="58" spans="1:4" x14ac:dyDescent="0.45">
      <c r="A58" s="1">
        <v>57</v>
      </c>
      <c r="B58" s="1">
        <v>1440</v>
      </c>
      <c r="C58" s="1">
        <f t="shared" si="2"/>
        <v>1524.6000000000001</v>
      </c>
      <c r="D58">
        <f t="shared" si="1"/>
        <v>5.8750000000000094E-2</v>
      </c>
    </row>
    <row r="59" spans="1:4" x14ac:dyDescent="0.45">
      <c r="A59" s="1">
        <v>58</v>
      </c>
      <c r="B59" s="1">
        <v>1775.7</v>
      </c>
      <c r="C59" s="1">
        <f t="shared" si="2"/>
        <v>1524.6000000000001</v>
      </c>
      <c r="D59">
        <f t="shared" si="1"/>
        <v>0.14140902179422193</v>
      </c>
    </row>
    <row r="60" spans="1:4" x14ac:dyDescent="0.45">
      <c r="A60" s="1">
        <v>59</v>
      </c>
      <c r="B60" s="1">
        <v>2242.8000000000002</v>
      </c>
      <c r="C60" s="1">
        <f t="shared" si="2"/>
        <v>1524.6000000000001</v>
      </c>
      <c r="D60">
        <f t="shared" si="1"/>
        <v>0.3202247191011236</v>
      </c>
    </row>
    <row r="61" spans="1:4" x14ac:dyDescent="0.45">
      <c r="A61" s="1">
        <v>60</v>
      </c>
      <c r="B61" s="1">
        <v>1638.9</v>
      </c>
      <c r="C61" s="1">
        <f t="shared" si="2"/>
        <v>1524.6000000000001</v>
      </c>
      <c r="D61">
        <f t="shared" si="1"/>
        <v>6.9741900054914846E-2</v>
      </c>
    </row>
    <row r="62" spans="1:4" x14ac:dyDescent="0.45">
      <c r="A62" s="1">
        <v>61</v>
      </c>
      <c r="B62" s="1">
        <v>1717.2</v>
      </c>
      <c r="C62" s="1">
        <f t="shared" si="2"/>
        <v>1524.6000000000001</v>
      </c>
      <c r="D62">
        <f t="shared" si="1"/>
        <v>0.11215932914046116</v>
      </c>
    </row>
    <row r="63" spans="1:4" x14ac:dyDescent="0.45">
      <c r="A63" s="1">
        <v>62</v>
      </c>
      <c r="B63" s="1">
        <v>2664.2000000000003</v>
      </c>
      <c r="C63" s="1">
        <f t="shared" si="2"/>
        <v>1524.6000000000001</v>
      </c>
      <c r="D63">
        <f t="shared" si="1"/>
        <v>0.4277456647398844</v>
      </c>
    </row>
    <row r="64" spans="1:4" x14ac:dyDescent="0.45">
      <c r="A64" s="1">
        <v>63</v>
      </c>
      <c r="B64" s="1">
        <v>2063.6000000000004</v>
      </c>
      <c r="C64" s="1">
        <f t="shared" si="2"/>
        <v>1524.6000000000001</v>
      </c>
      <c r="D64">
        <f t="shared" si="1"/>
        <v>0.26119402985074636</v>
      </c>
    </row>
    <row r="65" spans="1:4" x14ac:dyDescent="0.45">
      <c r="A65" s="1">
        <v>64</v>
      </c>
      <c r="B65" s="1">
        <v>1993.2000000000003</v>
      </c>
      <c r="C65" s="1">
        <f t="shared" si="2"/>
        <v>1524.6000000000001</v>
      </c>
      <c r="D65">
        <f t="shared" si="1"/>
        <v>0.23509933774834441</v>
      </c>
    </row>
    <row r="66" spans="1:4" x14ac:dyDescent="0.45">
      <c r="A66" s="1">
        <v>65</v>
      </c>
      <c r="B66" s="1">
        <v>1870.0000000000002</v>
      </c>
      <c r="C66" s="1">
        <f t="shared" si="2"/>
        <v>1524.6000000000001</v>
      </c>
      <c r="D66">
        <f t="shared" si="1"/>
        <v>0.18470588235294119</v>
      </c>
    </row>
    <row r="67" spans="1:4" x14ac:dyDescent="0.45">
      <c r="A67" s="1">
        <v>66</v>
      </c>
      <c r="B67" s="1">
        <v>2328</v>
      </c>
      <c r="C67" s="1">
        <f t="shared" ref="C67:C98" si="3">C66+alpha_s*(B66-C66)</f>
        <v>1524.6000000000001</v>
      </c>
      <c r="D67">
        <f t="shared" ref="D67:D105" si="4">ABS((B67-C67)/B67)</f>
        <v>0.34510309278350509</v>
      </c>
    </row>
    <row r="68" spans="1:4" x14ac:dyDescent="0.45">
      <c r="A68" s="1">
        <v>67</v>
      </c>
      <c r="B68" s="1">
        <v>1825.2</v>
      </c>
      <c r="C68" s="1">
        <f t="shared" si="3"/>
        <v>1524.6000000000001</v>
      </c>
      <c r="D68">
        <f t="shared" si="4"/>
        <v>0.16469428007889542</v>
      </c>
    </row>
    <row r="69" spans="1:4" x14ac:dyDescent="0.45">
      <c r="A69" s="1">
        <v>68</v>
      </c>
      <c r="B69" s="1">
        <v>2660.4</v>
      </c>
      <c r="C69" s="1">
        <f t="shared" si="3"/>
        <v>1524.6000000000001</v>
      </c>
      <c r="D69">
        <f t="shared" si="4"/>
        <v>0.42692828146143436</v>
      </c>
    </row>
    <row r="70" spans="1:4" x14ac:dyDescent="0.45">
      <c r="A70" s="1">
        <v>69</v>
      </c>
      <c r="B70" s="1">
        <v>2955.6</v>
      </c>
      <c r="C70" s="1">
        <f t="shared" si="3"/>
        <v>1524.6000000000001</v>
      </c>
      <c r="D70">
        <f t="shared" si="4"/>
        <v>0.48416565164433611</v>
      </c>
    </row>
    <row r="71" spans="1:4" x14ac:dyDescent="0.45">
      <c r="A71" s="1">
        <v>70</v>
      </c>
      <c r="B71" s="1">
        <v>2642.4</v>
      </c>
      <c r="C71" s="1">
        <f t="shared" si="3"/>
        <v>1524.6000000000001</v>
      </c>
      <c r="D71">
        <f t="shared" si="4"/>
        <v>0.42302452316076289</v>
      </c>
    </row>
    <row r="72" spans="1:4" x14ac:dyDescent="0.45">
      <c r="A72" s="1">
        <v>71</v>
      </c>
      <c r="B72" s="1">
        <v>2485.1999999999998</v>
      </c>
      <c r="C72" s="1">
        <f t="shared" si="3"/>
        <v>1524.6000000000001</v>
      </c>
      <c r="D72">
        <f t="shared" si="4"/>
        <v>0.38652824722356338</v>
      </c>
    </row>
    <row r="73" spans="1:4" x14ac:dyDescent="0.45">
      <c r="A73" s="1">
        <v>72</v>
      </c>
      <c r="B73" s="1">
        <v>2701.2</v>
      </c>
      <c r="C73" s="1">
        <f t="shared" si="3"/>
        <v>1524.6000000000001</v>
      </c>
      <c r="D73">
        <f t="shared" si="4"/>
        <v>0.43558418480675248</v>
      </c>
    </row>
    <row r="74" spans="1:4" x14ac:dyDescent="0.45">
      <c r="A74" s="1">
        <v>73</v>
      </c>
      <c r="B74" s="1">
        <v>2676</v>
      </c>
      <c r="C74" s="1">
        <f t="shared" si="3"/>
        <v>1524.6000000000001</v>
      </c>
      <c r="D74">
        <f t="shared" si="4"/>
        <v>0.43026905829596407</v>
      </c>
    </row>
    <row r="75" spans="1:4" x14ac:dyDescent="0.45">
      <c r="A75" s="1">
        <v>74</v>
      </c>
      <c r="B75" s="1">
        <v>2470.7999999999997</v>
      </c>
      <c r="C75" s="1">
        <f t="shared" si="3"/>
        <v>1524.6000000000001</v>
      </c>
      <c r="D75">
        <f t="shared" si="4"/>
        <v>0.38295288975230685</v>
      </c>
    </row>
    <row r="76" spans="1:4" x14ac:dyDescent="0.45">
      <c r="A76" s="1">
        <v>75</v>
      </c>
      <c r="B76" s="1">
        <v>2274</v>
      </c>
      <c r="C76" s="1">
        <f t="shared" si="3"/>
        <v>1524.6000000000001</v>
      </c>
      <c r="D76">
        <f t="shared" si="4"/>
        <v>0.32955145118733503</v>
      </c>
    </row>
    <row r="77" spans="1:4" x14ac:dyDescent="0.45">
      <c r="A77" s="1">
        <v>76</v>
      </c>
      <c r="B77" s="1">
        <v>2916</v>
      </c>
      <c r="C77" s="1">
        <f t="shared" si="3"/>
        <v>1524.6000000000001</v>
      </c>
      <c r="D77">
        <f t="shared" si="4"/>
        <v>0.47716049382716047</v>
      </c>
    </row>
    <row r="78" spans="1:4" x14ac:dyDescent="0.45">
      <c r="A78" s="1">
        <v>77</v>
      </c>
      <c r="B78" s="1">
        <v>2569.1999999999998</v>
      </c>
      <c r="C78" s="1">
        <f t="shared" si="3"/>
        <v>1524.6000000000001</v>
      </c>
      <c r="D78">
        <f t="shared" si="4"/>
        <v>0.40658570761326474</v>
      </c>
    </row>
    <row r="79" spans="1:4" x14ac:dyDescent="0.45">
      <c r="A79" s="1">
        <v>78</v>
      </c>
      <c r="B79" s="1">
        <v>2727.6</v>
      </c>
      <c r="C79" s="1">
        <f t="shared" si="3"/>
        <v>1524.6000000000001</v>
      </c>
      <c r="D79">
        <f t="shared" si="4"/>
        <v>0.44104707435107782</v>
      </c>
    </row>
    <row r="80" spans="1:4" x14ac:dyDescent="0.45">
      <c r="A80" s="1">
        <v>79</v>
      </c>
      <c r="B80" s="1">
        <v>2744.4</v>
      </c>
      <c r="C80" s="1">
        <f t="shared" si="3"/>
        <v>1524.6000000000001</v>
      </c>
      <c r="D80">
        <f t="shared" si="4"/>
        <v>0.44446873633581108</v>
      </c>
    </row>
    <row r="81" spans="1:4" x14ac:dyDescent="0.45">
      <c r="A81" s="1">
        <v>80</v>
      </c>
      <c r="B81" s="1">
        <v>2062.7999999999997</v>
      </c>
      <c r="C81" s="1">
        <f t="shared" si="3"/>
        <v>1524.6000000000001</v>
      </c>
      <c r="D81">
        <f t="shared" si="4"/>
        <v>0.26090750436300159</v>
      </c>
    </row>
    <row r="82" spans="1:4" x14ac:dyDescent="0.45">
      <c r="A82" s="1">
        <v>81</v>
      </c>
      <c r="B82" s="1">
        <v>2218.7999999999997</v>
      </c>
      <c r="C82" s="1">
        <f t="shared" si="3"/>
        <v>1524.6000000000001</v>
      </c>
      <c r="D82">
        <f t="shared" si="4"/>
        <v>0.31287182260681434</v>
      </c>
    </row>
    <row r="83" spans="1:4" x14ac:dyDescent="0.45">
      <c r="A83" s="1">
        <v>82</v>
      </c>
      <c r="B83" s="1">
        <v>2696.4</v>
      </c>
      <c r="C83" s="1">
        <f t="shared" si="3"/>
        <v>1524.6000000000001</v>
      </c>
      <c r="D83">
        <f t="shared" si="4"/>
        <v>0.43457943925233644</v>
      </c>
    </row>
    <row r="84" spans="1:4" x14ac:dyDescent="0.45">
      <c r="A84" s="1">
        <v>83</v>
      </c>
      <c r="B84" s="1">
        <v>2526</v>
      </c>
      <c r="C84" s="1">
        <f t="shared" si="3"/>
        <v>1524.6000000000001</v>
      </c>
      <c r="D84">
        <f t="shared" si="4"/>
        <v>0.39643705463182893</v>
      </c>
    </row>
    <row r="85" spans="1:4" x14ac:dyDescent="0.45">
      <c r="A85" s="1">
        <v>84</v>
      </c>
      <c r="B85" s="1">
        <v>2016</v>
      </c>
      <c r="C85" s="1">
        <f t="shared" si="3"/>
        <v>1524.6000000000001</v>
      </c>
      <c r="D85">
        <f t="shared" si="4"/>
        <v>0.24374999999999994</v>
      </c>
    </row>
    <row r="86" spans="1:4" x14ac:dyDescent="0.45">
      <c r="A86" s="1">
        <v>85</v>
      </c>
      <c r="B86" s="1">
        <v>2952</v>
      </c>
      <c r="C86" s="1">
        <f t="shared" si="3"/>
        <v>1524.6000000000001</v>
      </c>
      <c r="D86">
        <f t="shared" si="4"/>
        <v>0.48353658536585359</v>
      </c>
    </row>
    <row r="87" spans="1:4" x14ac:dyDescent="0.45">
      <c r="A87" s="1">
        <v>86</v>
      </c>
      <c r="B87" s="1">
        <v>2457.6</v>
      </c>
      <c r="C87" s="1">
        <f t="shared" si="3"/>
        <v>1524.6000000000001</v>
      </c>
      <c r="D87">
        <f t="shared" si="4"/>
        <v>0.37963867187499994</v>
      </c>
    </row>
    <row r="88" spans="1:4" x14ac:dyDescent="0.45">
      <c r="A88" s="1">
        <v>87</v>
      </c>
      <c r="B88" s="1">
        <v>2907.6</v>
      </c>
      <c r="C88" s="1">
        <f t="shared" si="3"/>
        <v>1524.6000000000001</v>
      </c>
      <c r="D88">
        <f t="shared" si="4"/>
        <v>0.47565002063557565</v>
      </c>
    </row>
    <row r="89" spans="1:4" x14ac:dyDescent="0.45">
      <c r="A89" s="1">
        <v>88</v>
      </c>
      <c r="B89" s="1">
        <v>1694.0000000000002</v>
      </c>
      <c r="C89" s="1">
        <f t="shared" si="3"/>
        <v>1524.6000000000001</v>
      </c>
      <c r="D89">
        <f t="shared" si="4"/>
        <v>0.10000000000000005</v>
      </c>
    </row>
    <row r="90" spans="1:4" x14ac:dyDescent="0.45">
      <c r="A90" s="1">
        <v>89</v>
      </c>
      <c r="B90" s="1">
        <v>2560.8000000000002</v>
      </c>
      <c r="C90" s="1">
        <f t="shared" si="3"/>
        <v>1524.6000000000001</v>
      </c>
      <c r="D90">
        <f t="shared" si="4"/>
        <v>0.40463917525773196</v>
      </c>
    </row>
    <row r="91" spans="1:4" x14ac:dyDescent="0.45">
      <c r="A91" s="1">
        <v>90</v>
      </c>
      <c r="B91" s="1">
        <v>1687.4</v>
      </c>
      <c r="C91" s="1">
        <f t="shared" si="3"/>
        <v>1524.6000000000001</v>
      </c>
      <c r="D91">
        <f t="shared" si="4"/>
        <v>9.6479791395045603E-2</v>
      </c>
    </row>
    <row r="92" spans="1:4" x14ac:dyDescent="0.45">
      <c r="A92" s="1">
        <v>91</v>
      </c>
      <c r="B92" s="1">
        <v>1772.1000000000001</v>
      </c>
      <c r="C92" s="1">
        <f t="shared" si="3"/>
        <v>1524.6000000000001</v>
      </c>
      <c r="D92">
        <f t="shared" si="4"/>
        <v>0.13966480446927373</v>
      </c>
    </row>
    <row r="93" spans="1:4" x14ac:dyDescent="0.45">
      <c r="A93" s="1">
        <v>92</v>
      </c>
      <c r="B93" s="1">
        <v>1855</v>
      </c>
      <c r="C93" s="1">
        <f t="shared" si="3"/>
        <v>1524.6000000000001</v>
      </c>
      <c r="D93">
        <f t="shared" si="4"/>
        <v>0.17811320754716975</v>
      </c>
    </row>
    <row r="94" spans="1:4" x14ac:dyDescent="0.45">
      <c r="A94" s="1">
        <v>93</v>
      </c>
      <c r="B94" s="1">
        <v>2068</v>
      </c>
      <c r="C94" s="1">
        <f t="shared" si="3"/>
        <v>1524.6000000000001</v>
      </c>
      <c r="D94">
        <f t="shared" si="4"/>
        <v>0.26276595744680842</v>
      </c>
    </row>
    <row r="95" spans="1:4" x14ac:dyDescent="0.45">
      <c r="A95" s="1">
        <v>94</v>
      </c>
      <c r="B95" s="1">
        <v>2169.9</v>
      </c>
      <c r="C95" s="1">
        <f t="shared" si="3"/>
        <v>1524.6000000000001</v>
      </c>
      <c r="D95">
        <f t="shared" si="4"/>
        <v>0.29738697635835748</v>
      </c>
    </row>
    <row r="96" spans="1:4" x14ac:dyDescent="0.45">
      <c r="A96" s="1">
        <v>95</v>
      </c>
      <c r="B96" s="1">
        <v>1863.9</v>
      </c>
      <c r="C96" s="1">
        <f t="shared" si="3"/>
        <v>1524.6000000000001</v>
      </c>
      <c r="D96">
        <f t="shared" si="4"/>
        <v>0.1820376629647513</v>
      </c>
    </row>
    <row r="97" spans="1:4" x14ac:dyDescent="0.45">
      <c r="A97" s="1">
        <v>96</v>
      </c>
      <c r="B97" s="1">
        <v>1507.5</v>
      </c>
      <c r="C97" s="1">
        <f t="shared" si="3"/>
        <v>1524.6000000000001</v>
      </c>
      <c r="D97">
        <f t="shared" si="4"/>
        <v>1.1343283582089643E-2</v>
      </c>
    </row>
    <row r="98" spans="1:4" x14ac:dyDescent="0.45">
      <c r="A98" s="1">
        <v>97</v>
      </c>
      <c r="B98" s="1">
        <v>1621.8</v>
      </c>
      <c r="C98" s="1">
        <f t="shared" si="3"/>
        <v>1524.6000000000001</v>
      </c>
      <c r="D98">
        <f t="shared" si="4"/>
        <v>5.9933407325194116E-2</v>
      </c>
    </row>
    <row r="99" spans="1:4" x14ac:dyDescent="0.45">
      <c r="A99" s="1">
        <v>98</v>
      </c>
      <c r="B99" s="1">
        <v>1635.3</v>
      </c>
      <c r="C99" s="1">
        <f t="shared" ref="C99:C106" si="5">C98+alpha_s*(B98-C98)</f>
        <v>1524.6000000000001</v>
      </c>
      <c r="D99">
        <f t="shared" si="4"/>
        <v>6.7694001100715356E-2</v>
      </c>
    </row>
    <row r="100" spans="1:4" x14ac:dyDescent="0.45">
      <c r="A100" s="1">
        <v>99</v>
      </c>
      <c r="B100" s="1">
        <v>1503</v>
      </c>
      <c r="C100" s="1">
        <f t="shared" si="5"/>
        <v>1524.6000000000001</v>
      </c>
      <c r="D100">
        <f t="shared" si="4"/>
        <v>1.437125748503003E-2</v>
      </c>
    </row>
    <row r="101" spans="1:4" x14ac:dyDescent="0.45">
      <c r="A101" s="1">
        <v>100</v>
      </c>
      <c r="B101" s="1">
        <v>1799.1000000000001</v>
      </c>
      <c r="C101" s="1">
        <f t="shared" si="5"/>
        <v>1524.6000000000001</v>
      </c>
      <c r="D101">
        <f t="shared" si="4"/>
        <v>0.15257628814407204</v>
      </c>
    </row>
    <row r="102" spans="1:4" x14ac:dyDescent="0.45">
      <c r="A102" s="1">
        <v>101</v>
      </c>
      <c r="B102" s="1">
        <v>2171.7000000000003</v>
      </c>
      <c r="C102" s="1">
        <f t="shared" si="5"/>
        <v>1524.6000000000001</v>
      </c>
      <c r="D102">
        <f t="shared" si="4"/>
        <v>0.29796933278077087</v>
      </c>
    </row>
    <row r="103" spans="1:4" x14ac:dyDescent="0.45">
      <c r="A103" s="1">
        <v>102</v>
      </c>
      <c r="B103" s="1">
        <v>1475.1000000000001</v>
      </c>
      <c r="C103" s="1">
        <f t="shared" si="5"/>
        <v>1524.6000000000001</v>
      </c>
      <c r="D103">
        <f t="shared" si="4"/>
        <v>3.3557046979865772E-2</v>
      </c>
    </row>
    <row r="104" spans="1:4" x14ac:dyDescent="0.45">
      <c r="A104" s="1">
        <v>103</v>
      </c>
      <c r="B104" s="1">
        <v>1984.5</v>
      </c>
      <c r="C104" s="1">
        <f t="shared" si="5"/>
        <v>1524.6000000000001</v>
      </c>
      <c r="D104">
        <f t="shared" si="4"/>
        <v>0.23174603174603167</v>
      </c>
    </row>
    <row r="105" spans="1:4" x14ac:dyDescent="0.45">
      <c r="A105" s="1">
        <v>104</v>
      </c>
      <c r="B105" s="1">
        <v>1476</v>
      </c>
      <c r="C105" s="1">
        <f t="shared" si="5"/>
        <v>1524.6000000000001</v>
      </c>
      <c r="D105">
        <f t="shared" si="4"/>
        <v>3.2926829268292775E-2</v>
      </c>
    </row>
    <row r="106" spans="1:4" x14ac:dyDescent="0.45">
      <c r="C106" s="1">
        <f t="shared" si="5"/>
        <v>1524.6000000000001</v>
      </c>
    </row>
    <row r="107" spans="1:4" x14ac:dyDescent="0.45">
      <c r="C107" s="1"/>
    </row>
    <row r="108" spans="1:4" x14ac:dyDescent="0.45">
      <c r="C108" s="1"/>
    </row>
    <row r="109" spans="1:4" x14ac:dyDescent="0.45">
      <c r="C109" s="1"/>
    </row>
    <row r="110" spans="1:4" x14ac:dyDescent="0.45">
      <c r="C110" s="1"/>
    </row>
    <row r="111" spans="1:4" x14ac:dyDescent="0.45">
      <c r="C111" s="1"/>
    </row>
    <row r="112" spans="1:4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0"/>
  <sheetViews>
    <sheetView workbookViewId="0">
      <selection activeCell="G99" sqref="G99"/>
    </sheetView>
  </sheetViews>
  <sheetFormatPr defaultRowHeight="14.35" x14ac:dyDescent="0.45"/>
  <cols>
    <col min="1" max="1" width="9.06640625" style="1"/>
    <col min="2" max="2" width="13.33203125" style="1" customWidth="1"/>
    <col min="3" max="7" width="8.796875"/>
    <col min="8" max="8" width="11.1328125" style="2" bestFit="1" customWidth="1"/>
  </cols>
  <sheetData>
    <row r="1" spans="1:8" x14ac:dyDescent="0.45">
      <c r="A1" s="1" t="s">
        <v>0</v>
      </c>
      <c r="B1" s="1" t="s">
        <v>1</v>
      </c>
      <c r="C1" t="s">
        <v>2</v>
      </c>
      <c r="H1" s="2" t="s">
        <v>3</v>
      </c>
    </row>
    <row r="2" spans="1:8" x14ac:dyDescent="0.45">
      <c r="A2" s="1">
        <v>1</v>
      </c>
      <c r="B2" s="1">
        <v>1524.6000000000001</v>
      </c>
      <c r="C2" s="1">
        <f>B2</f>
        <v>1524.6000000000001</v>
      </c>
      <c r="H2" s="2">
        <v>0.5</v>
      </c>
    </row>
    <row r="3" spans="1:8" x14ac:dyDescent="0.45">
      <c r="A3" s="1">
        <v>2</v>
      </c>
      <c r="B3" s="1">
        <v>1960.2</v>
      </c>
      <c r="C3" s="1">
        <f t="shared" ref="C3:C34" si="0">C2+alpha_a*(B2-C2)</f>
        <v>1524.6000000000001</v>
      </c>
    </row>
    <row r="4" spans="1:8" x14ac:dyDescent="0.45">
      <c r="A4" s="1">
        <v>3</v>
      </c>
      <c r="B4" s="1">
        <v>2061.9</v>
      </c>
      <c r="C4" s="1">
        <f t="shared" si="0"/>
        <v>1742.4</v>
      </c>
    </row>
    <row r="5" spans="1:8" x14ac:dyDescent="0.45">
      <c r="A5" s="1">
        <v>4</v>
      </c>
      <c r="B5" s="1">
        <v>2214</v>
      </c>
      <c r="C5" s="1">
        <f t="shared" si="0"/>
        <v>1902.15</v>
      </c>
    </row>
    <row r="6" spans="1:8" x14ac:dyDescent="0.45">
      <c r="A6" s="1">
        <v>5</v>
      </c>
      <c r="B6" s="1">
        <v>1621.8</v>
      </c>
      <c r="C6" s="1">
        <f t="shared" si="0"/>
        <v>2058.0749999999998</v>
      </c>
    </row>
    <row r="7" spans="1:8" x14ac:dyDescent="0.45">
      <c r="A7" s="1">
        <v>6</v>
      </c>
      <c r="B7" s="1">
        <v>1926.9</v>
      </c>
      <c r="C7" s="1">
        <f t="shared" si="0"/>
        <v>1839.9375</v>
      </c>
    </row>
    <row r="8" spans="1:8" x14ac:dyDescent="0.45">
      <c r="A8" s="1">
        <v>7</v>
      </c>
      <c r="B8" s="1">
        <v>1952.1000000000001</v>
      </c>
      <c r="C8" s="1">
        <f t="shared" si="0"/>
        <v>1883.41875</v>
      </c>
    </row>
    <row r="9" spans="1:8" x14ac:dyDescent="0.45">
      <c r="A9" s="1">
        <v>8</v>
      </c>
      <c r="B9" s="1">
        <v>2214.9</v>
      </c>
      <c r="C9" s="1">
        <f t="shared" si="0"/>
        <v>1917.7593750000001</v>
      </c>
    </row>
    <row r="10" spans="1:8" x14ac:dyDescent="0.45">
      <c r="A10" s="1">
        <v>9</v>
      </c>
      <c r="B10" s="1">
        <v>2009.7</v>
      </c>
      <c r="C10" s="1">
        <f t="shared" si="0"/>
        <v>2066.3296875000001</v>
      </c>
    </row>
    <row r="11" spans="1:8" x14ac:dyDescent="0.45">
      <c r="A11" s="1">
        <v>10</v>
      </c>
      <c r="B11" s="1">
        <v>2068.2000000000003</v>
      </c>
      <c r="C11" s="1">
        <f t="shared" si="0"/>
        <v>2038.0148437500002</v>
      </c>
    </row>
    <row r="12" spans="1:8" x14ac:dyDescent="0.45">
      <c r="A12" s="1">
        <v>11</v>
      </c>
      <c r="B12" s="1">
        <v>1865.7</v>
      </c>
      <c r="C12" s="1">
        <f t="shared" si="0"/>
        <v>2053.107421875</v>
      </c>
    </row>
    <row r="13" spans="1:8" x14ac:dyDescent="0.45">
      <c r="A13" s="1">
        <v>12</v>
      </c>
      <c r="B13" s="1">
        <v>1445.4</v>
      </c>
      <c r="C13" s="1">
        <f t="shared" si="0"/>
        <v>1959.4037109374999</v>
      </c>
    </row>
    <row r="14" spans="1:8" x14ac:dyDescent="0.45">
      <c r="A14" s="1">
        <v>13</v>
      </c>
      <c r="B14" s="1">
        <v>1723.5</v>
      </c>
      <c r="C14" s="1">
        <f t="shared" si="0"/>
        <v>1702.40185546875</v>
      </c>
    </row>
    <row r="15" spans="1:8" x14ac:dyDescent="0.45">
      <c r="A15" s="1">
        <v>14</v>
      </c>
      <c r="B15" s="1">
        <v>2421.1000000000004</v>
      </c>
      <c r="C15" s="1">
        <f t="shared" si="0"/>
        <v>1712.950927734375</v>
      </c>
    </row>
    <row r="16" spans="1:8" x14ac:dyDescent="0.45">
      <c r="A16" s="1">
        <v>15</v>
      </c>
      <c r="B16" s="1">
        <v>1797.4</v>
      </c>
      <c r="C16" s="1">
        <f t="shared" si="0"/>
        <v>2067.0254638671877</v>
      </c>
    </row>
    <row r="17" spans="1:3" x14ac:dyDescent="0.45">
      <c r="A17" s="1">
        <v>16</v>
      </c>
      <c r="B17" s="1">
        <v>2289.1000000000004</v>
      </c>
      <c r="C17" s="1">
        <f t="shared" si="0"/>
        <v>1932.2127319335939</v>
      </c>
    </row>
    <row r="18" spans="1:3" x14ac:dyDescent="0.45">
      <c r="A18" s="1">
        <v>17</v>
      </c>
      <c r="B18" s="1">
        <v>2072.4</v>
      </c>
      <c r="C18" s="1">
        <f t="shared" si="0"/>
        <v>2110.6563659667972</v>
      </c>
    </row>
    <row r="19" spans="1:3" x14ac:dyDescent="0.45">
      <c r="A19" s="1">
        <v>18</v>
      </c>
      <c r="B19" s="1">
        <v>2653.2000000000003</v>
      </c>
      <c r="C19" s="1">
        <f t="shared" si="0"/>
        <v>2091.5281829833984</v>
      </c>
    </row>
    <row r="20" spans="1:3" x14ac:dyDescent="0.45">
      <c r="A20" s="1">
        <v>19</v>
      </c>
      <c r="B20" s="1">
        <v>2557.5</v>
      </c>
      <c r="C20" s="1">
        <f t="shared" si="0"/>
        <v>2372.3640914916996</v>
      </c>
    </row>
    <row r="21" spans="1:3" x14ac:dyDescent="0.45">
      <c r="A21" s="1">
        <v>20</v>
      </c>
      <c r="B21" s="1">
        <v>1712.7</v>
      </c>
      <c r="C21" s="1">
        <f t="shared" si="0"/>
        <v>2464.9320457458498</v>
      </c>
    </row>
    <row r="22" spans="1:3" x14ac:dyDescent="0.45">
      <c r="A22" s="1">
        <v>21</v>
      </c>
      <c r="B22" s="1">
        <v>2206.7999999999997</v>
      </c>
      <c r="C22" s="1">
        <f t="shared" si="0"/>
        <v>2088.8160228729248</v>
      </c>
    </row>
    <row r="23" spans="1:3" x14ac:dyDescent="0.45">
      <c r="A23" s="1">
        <v>22</v>
      </c>
      <c r="B23" s="1">
        <v>2140.7999999999997</v>
      </c>
      <c r="C23" s="1">
        <f t="shared" si="0"/>
        <v>2147.808011436462</v>
      </c>
    </row>
    <row r="24" spans="1:3" x14ac:dyDescent="0.45">
      <c r="A24" s="1">
        <v>23</v>
      </c>
      <c r="B24" s="1">
        <v>2546.4</v>
      </c>
      <c r="C24" s="1">
        <f t="shared" si="0"/>
        <v>2144.3040057182307</v>
      </c>
    </row>
    <row r="25" spans="1:3" x14ac:dyDescent="0.45">
      <c r="A25" s="1">
        <v>24</v>
      </c>
      <c r="B25" s="1">
        <v>2322</v>
      </c>
      <c r="C25" s="1">
        <f t="shared" si="0"/>
        <v>2345.3520028591156</v>
      </c>
    </row>
    <row r="26" spans="1:3" x14ac:dyDescent="0.45">
      <c r="A26" s="1">
        <v>25</v>
      </c>
      <c r="B26" s="1">
        <v>2295.6</v>
      </c>
      <c r="C26" s="1">
        <f t="shared" si="0"/>
        <v>2333.6760014295578</v>
      </c>
    </row>
    <row r="27" spans="1:3" x14ac:dyDescent="0.45">
      <c r="A27" s="1">
        <v>26</v>
      </c>
      <c r="B27" s="1">
        <v>2632.7999999999997</v>
      </c>
      <c r="C27" s="1">
        <f t="shared" si="0"/>
        <v>2314.6380007147791</v>
      </c>
    </row>
    <row r="28" spans="1:3" x14ac:dyDescent="0.45">
      <c r="A28" s="1">
        <v>27</v>
      </c>
      <c r="B28" s="1">
        <v>2574</v>
      </c>
      <c r="C28" s="1">
        <f t="shared" si="0"/>
        <v>2473.7190003573896</v>
      </c>
    </row>
    <row r="29" spans="1:3" x14ac:dyDescent="0.45">
      <c r="A29" s="1">
        <v>28</v>
      </c>
      <c r="B29" s="1">
        <v>2646</v>
      </c>
      <c r="C29" s="1">
        <f t="shared" si="0"/>
        <v>2523.8595001786948</v>
      </c>
    </row>
    <row r="30" spans="1:3" x14ac:dyDescent="0.45">
      <c r="A30" s="1">
        <v>29</v>
      </c>
      <c r="B30" s="1">
        <v>2014.8</v>
      </c>
      <c r="C30" s="1">
        <f t="shared" si="0"/>
        <v>2584.9297500893472</v>
      </c>
    </row>
    <row r="31" spans="1:3" x14ac:dyDescent="0.45">
      <c r="A31" s="1">
        <v>30</v>
      </c>
      <c r="B31" s="1">
        <v>1998</v>
      </c>
      <c r="C31" s="1">
        <f t="shared" si="0"/>
        <v>2299.8648750446737</v>
      </c>
    </row>
    <row r="32" spans="1:3" x14ac:dyDescent="0.45">
      <c r="A32" s="1">
        <v>31</v>
      </c>
      <c r="B32" s="1">
        <v>2976</v>
      </c>
      <c r="C32" s="1">
        <f t="shared" si="0"/>
        <v>2148.9324375223368</v>
      </c>
    </row>
    <row r="33" spans="1:3" x14ac:dyDescent="0.45">
      <c r="A33" s="1">
        <v>32</v>
      </c>
      <c r="B33" s="1">
        <v>1867.1999999999998</v>
      </c>
      <c r="C33" s="1">
        <f t="shared" si="0"/>
        <v>2562.4662187611684</v>
      </c>
    </row>
    <row r="34" spans="1:3" x14ac:dyDescent="0.45">
      <c r="A34" s="1">
        <v>33</v>
      </c>
      <c r="B34" s="1">
        <v>1845.6</v>
      </c>
      <c r="C34" s="1">
        <f t="shared" si="0"/>
        <v>2214.8331093805841</v>
      </c>
    </row>
    <row r="35" spans="1:3" x14ac:dyDescent="0.45">
      <c r="A35" s="1">
        <v>34</v>
      </c>
      <c r="B35" s="1">
        <v>2764.7999999999997</v>
      </c>
      <c r="C35" s="1">
        <f t="shared" ref="C35:C66" si="1">C34+alpha_a*(B34-C34)</f>
        <v>2030.216554690292</v>
      </c>
    </row>
    <row r="36" spans="1:3" x14ac:dyDescent="0.45">
      <c r="A36" s="1">
        <v>35</v>
      </c>
      <c r="B36" s="1">
        <v>2088</v>
      </c>
      <c r="C36" s="1">
        <f t="shared" si="1"/>
        <v>2397.5082773451459</v>
      </c>
    </row>
    <row r="37" spans="1:3" x14ac:dyDescent="0.45">
      <c r="A37" s="1">
        <v>36</v>
      </c>
      <c r="B37" s="1">
        <v>2553.6</v>
      </c>
      <c r="C37" s="1">
        <f t="shared" si="1"/>
        <v>2242.7541386725729</v>
      </c>
    </row>
    <row r="38" spans="1:3" x14ac:dyDescent="0.45">
      <c r="A38" s="1">
        <v>37</v>
      </c>
      <c r="B38" s="1">
        <v>1980</v>
      </c>
      <c r="C38" s="1">
        <f t="shared" si="1"/>
        <v>2398.1770693362864</v>
      </c>
    </row>
    <row r="39" spans="1:3" x14ac:dyDescent="0.45">
      <c r="A39" s="1">
        <v>38</v>
      </c>
      <c r="B39" s="1">
        <v>2842.7999999999997</v>
      </c>
      <c r="C39" s="1">
        <f t="shared" si="1"/>
        <v>2189.0885346681434</v>
      </c>
    </row>
    <row r="40" spans="1:3" x14ac:dyDescent="0.45">
      <c r="A40" s="1">
        <v>39</v>
      </c>
      <c r="B40" s="1">
        <v>2328</v>
      </c>
      <c r="C40" s="1">
        <f t="shared" si="1"/>
        <v>2515.9442673340718</v>
      </c>
    </row>
    <row r="41" spans="1:3" x14ac:dyDescent="0.45">
      <c r="A41" s="1">
        <v>40</v>
      </c>
      <c r="B41" s="1">
        <v>2404</v>
      </c>
      <c r="C41" s="1">
        <f t="shared" si="1"/>
        <v>2421.9721336670359</v>
      </c>
    </row>
    <row r="42" spans="1:3" x14ac:dyDescent="0.45">
      <c r="A42" s="1">
        <v>41</v>
      </c>
      <c r="B42" s="1">
        <v>1614</v>
      </c>
      <c r="C42" s="1">
        <f t="shared" si="1"/>
        <v>2412.9860668335177</v>
      </c>
    </row>
    <row r="43" spans="1:3" x14ac:dyDescent="0.45">
      <c r="A43" s="1">
        <v>42</v>
      </c>
      <c r="B43" s="1">
        <v>1851</v>
      </c>
      <c r="C43" s="1">
        <f t="shared" si="1"/>
        <v>2013.4930334167589</v>
      </c>
    </row>
    <row r="44" spans="1:3" x14ac:dyDescent="0.45">
      <c r="A44" s="1">
        <v>43</v>
      </c>
      <c r="B44" s="1">
        <v>1648</v>
      </c>
      <c r="C44" s="1">
        <f t="shared" si="1"/>
        <v>1932.2465167083794</v>
      </c>
    </row>
    <row r="45" spans="1:3" x14ac:dyDescent="0.45">
      <c r="A45" s="1">
        <v>44</v>
      </c>
      <c r="B45" s="1">
        <v>1637</v>
      </c>
      <c r="C45" s="1">
        <f t="shared" si="1"/>
        <v>1790.1232583541896</v>
      </c>
    </row>
    <row r="46" spans="1:3" x14ac:dyDescent="0.45">
      <c r="A46" s="1">
        <v>45</v>
      </c>
      <c r="B46" s="1">
        <v>2211.3000000000002</v>
      </c>
      <c r="C46" s="1">
        <f t="shared" si="1"/>
        <v>1713.5616291770948</v>
      </c>
    </row>
    <row r="47" spans="1:3" x14ac:dyDescent="0.45">
      <c r="A47" s="1">
        <v>46</v>
      </c>
      <c r="B47" s="1">
        <v>1754.1000000000001</v>
      </c>
      <c r="C47" s="1">
        <f t="shared" si="1"/>
        <v>1962.4308145885475</v>
      </c>
    </row>
    <row r="48" spans="1:3" x14ac:dyDescent="0.45">
      <c r="A48" s="1">
        <v>47</v>
      </c>
      <c r="B48" s="1">
        <v>1600.2</v>
      </c>
      <c r="C48" s="1">
        <f t="shared" si="1"/>
        <v>1858.2654072942737</v>
      </c>
    </row>
    <row r="49" spans="1:3" x14ac:dyDescent="0.45">
      <c r="A49" s="1">
        <v>48</v>
      </c>
      <c r="B49" s="1">
        <v>2001.6000000000001</v>
      </c>
      <c r="C49" s="1">
        <f t="shared" si="1"/>
        <v>1729.232703647137</v>
      </c>
    </row>
    <row r="50" spans="1:3" x14ac:dyDescent="0.45">
      <c r="A50" s="1">
        <v>49</v>
      </c>
      <c r="B50" s="1">
        <v>1812.6000000000001</v>
      </c>
      <c r="C50" s="1">
        <f t="shared" si="1"/>
        <v>1865.4163518235687</v>
      </c>
    </row>
    <row r="51" spans="1:3" x14ac:dyDescent="0.45">
      <c r="A51" s="1">
        <v>50</v>
      </c>
      <c r="B51" s="1">
        <v>2025</v>
      </c>
      <c r="C51" s="1">
        <f t="shared" si="1"/>
        <v>1839.0081759117843</v>
      </c>
    </row>
    <row r="52" spans="1:3" x14ac:dyDescent="0.45">
      <c r="A52" s="1">
        <v>51</v>
      </c>
      <c r="B52" s="1">
        <v>1508.4</v>
      </c>
      <c r="C52" s="1">
        <f t="shared" si="1"/>
        <v>1932.0040879558921</v>
      </c>
    </row>
    <row r="53" spans="1:3" x14ac:dyDescent="0.45">
      <c r="A53" s="1">
        <v>52</v>
      </c>
      <c r="B53" s="1">
        <v>1693.8</v>
      </c>
      <c r="C53" s="1">
        <f t="shared" si="1"/>
        <v>1720.2020439779462</v>
      </c>
    </row>
    <row r="54" spans="1:3" x14ac:dyDescent="0.45">
      <c r="A54" s="1">
        <v>53</v>
      </c>
      <c r="B54" s="1">
        <v>2007</v>
      </c>
      <c r="C54" s="1">
        <f t="shared" si="1"/>
        <v>1707.0010219889732</v>
      </c>
    </row>
    <row r="55" spans="1:3" x14ac:dyDescent="0.45">
      <c r="A55" s="1">
        <v>54</v>
      </c>
      <c r="B55" s="1">
        <v>1642.5</v>
      </c>
      <c r="C55" s="1">
        <f t="shared" si="1"/>
        <v>1857.0005109944866</v>
      </c>
    </row>
    <row r="56" spans="1:3" x14ac:dyDescent="0.45">
      <c r="A56" s="1">
        <v>55</v>
      </c>
      <c r="B56" s="1">
        <v>1917</v>
      </c>
      <c r="C56" s="1">
        <f t="shared" si="1"/>
        <v>1749.7502554972434</v>
      </c>
    </row>
    <row r="57" spans="1:3" x14ac:dyDescent="0.45">
      <c r="A57" s="1">
        <v>56</v>
      </c>
      <c r="B57" s="1">
        <v>1721.7</v>
      </c>
      <c r="C57" s="1">
        <f t="shared" si="1"/>
        <v>1833.3751277486217</v>
      </c>
    </row>
    <row r="58" spans="1:3" x14ac:dyDescent="0.45">
      <c r="A58" s="1">
        <v>57</v>
      </c>
      <c r="B58" s="1">
        <v>1440</v>
      </c>
      <c r="C58" s="1">
        <f t="shared" si="1"/>
        <v>1777.5375638743108</v>
      </c>
    </row>
    <row r="59" spans="1:3" x14ac:dyDescent="0.45">
      <c r="A59" s="1">
        <v>58</v>
      </c>
      <c r="B59" s="1">
        <v>1775.7</v>
      </c>
      <c r="C59" s="1">
        <f t="shared" si="1"/>
        <v>1608.7687819371554</v>
      </c>
    </row>
    <row r="60" spans="1:3" x14ac:dyDescent="0.45">
      <c r="A60" s="1">
        <v>59</v>
      </c>
      <c r="B60" s="1">
        <v>2242.8000000000002</v>
      </c>
      <c r="C60" s="1">
        <f t="shared" si="1"/>
        <v>1692.2343909685778</v>
      </c>
    </row>
    <row r="61" spans="1:3" x14ac:dyDescent="0.45">
      <c r="A61" s="1">
        <v>60</v>
      </c>
      <c r="B61" s="1">
        <v>1638.9</v>
      </c>
      <c r="C61" s="1">
        <f t="shared" si="1"/>
        <v>1967.517195484289</v>
      </c>
    </row>
    <row r="62" spans="1:3" x14ac:dyDescent="0.45">
      <c r="A62" s="1">
        <v>61</v>
      </c>
      <c r="B62" s="1">
        <v>1717.2</v>
      </c>
      <c r="C62" s="1">
        <f t="shared" si="1"/>
        <v>1803.2085977421445</v>
      </c>
    </row>
    <row r="63" spans="1:3" x14ac:dyDescent="0.45">
      <c r="A63" s="1">
        <v>62</v>
      </c>
      <c r="B63" s="1">
        <v>2664.2000000000003</v>
      </c>
      <c r="C63" s="1">
        <f t="shared" si="1"/>
        <v>1760.2042988710723</v>
      </c>
    </row>
    <row r="64" spans="1:3" x14ac:dyDescent="0.45">
      <c r="A64" s="1">
        <v>63</v>
      </c>
      <c r="B64" s="1">
        <v>2063.6000000000004</v>
      </c>
      <c r="C64" s="1">
        <f t="shared" si="1"/>
        <v>2212.2021494355363</v>
      </c>
    </row>
    <row r="65" spans="1:3" x14ac:dyDescent="0.45">
      <c r="A65" s="1">
        <v>64</v>
      </c>
      <c r="B65" s="1">
        <v>1993.2000000000003</v>
      </c>
      <c r="C65" s="1">
        <f t="shared" si="1"/>
        <v>2137.9010747177681</v>
      </c>
    </row>
    <row r="66" spans="1:3" x14ac:dyDescent="0.45">
      <c r="A66" s="1">
        <v>65</v>
      </c>
      <c r="B66" s="1">
        <v>1870.0000000000002</v>
      </c>
      <c r="C66" s="1">
        <f t="shared" si="1"/>
        <v>2065.550537358884</v>
      </c>
    </row>
    <row r="67" spans="1:3" x14ac:dyDescent="0.45">
      <c r="A67" s="1">
        <v>66</v>
      </c>
      <c r="B67" s="1">
        <v>2328</v>
      </c>
      <c r="C67" s="1">
        <f t="shared" ref="C67:C98" si="2">C66+alpha_a*(B66-C66)</f>
        <v>1967.775268679442</v>
      </c>
    </row>
    <row r="68" spans="1:3" x14ac:dyDescent="0.45">
      <c r="A68" s="1">
        <v>67</v>
      </c>
      <c r="B68" s="1">
        <v>1825.2</v>
      </c>
      <c r="C68" s="1">
        <f t="shared" si="2"/>
        <v>2147.887634339721</v>
      </c>
    </row>
    <row r="69" spans="1:3" x14ac:dyDescent="0.45">
      <c r="A69" s="1">
        <v>68</v>
      </c>
      <c r="B69" s="1">
        <v>2660.4</v>
      </c>
      <c r="C69" s="1">
        <f t="shared" si="2"/>
        <v>1986.5438171698606</v>
      </c>
    </row>
    <row r="70" spans="1:3" x14ac:dyDescent="0.45">
      <c r="A70" s="1">
        <v>69</v>
      </c>
      <c r="B70" s="1">
        <v>2955.6</v>
      </c>
      <c r="C70" s="1">
        <f t="shared" si="2"/>
        <v>2323.4719085849301</v>
      </c>
    </row>
    <row r="71" spans="1:3" x14ac:dyDescent="0.45">
      <c r="A71" s="1">
        <v>70</v>
      </c>
      <c r="B71" s="1">
        <v>2642.4</v>
      </c>
      <c r="C71" s="1">
        <f t="shared" si="2"/>
        <v>2639.5359542924652</v>
      </c>
    </row>
    <row r="72" spans="1:3" x14ac:dyDescent="0.45">
      <c r="A72" s="1">
        <v>71</v>
      </c>
      <c r="B72" s="1">
        <v>2485.1999999999998</v>
      </c>
      <c r="C72" s="1">
        <f t="shared" si="2"/>
        <v>2640.9679771462324</v>
      </c>
    </row>
    <row r="73" spans="1:3" x14ac:dyDescent="0.45">
      <c r="A73" s="1">
        <v>72</v>
      </c>
      <c r="B73" s="1">
        <v>2701.2</v>
      </c>
      <c r="C73" s="1">
        <f t="shared" si="2"/>
        <v>2563.0839885731161</v>
      </c>
    </row>
    <row r="74" spans="1:3" x14ac:dyDescent="0.45">
      <c r="A74" s="1">
        <v>73</v>
      </c>
      <c r="B74" s="1">
        <v>2676</v>
      </c>
      <c r="C74" s="1">
        <f t="shared" si="2"/>
        <v>2632.1419942865577</v>
      </c>
    </row>
    <row r="75" spans="1:3" x14ac:dyDescent="0.45">
      <c r="A75" s="1">
        <v>74</v>
      </c>
      <c r="B75" s="1">
        <v>2470.7999999999997</v>
      </c>
      <c r="C75" s="1">
        <f t="shared" si="2"/>
        <v>2654.0709971432789</v>
      </c>
    </row>
    <row r="76" spans="1:3" x14ac:dyDescent="0.45">
      <c r="A76" s="1">
        <v>75</v>
      </c>
      <c r="B76" s="1">
        <v>2274</v>
      </c>
      <c r="C76" s="1">
        <f t="shared" si="2"/>
        <v>2562.4354985716391</v>
      </c>
    </row>
    <row r="77" spans="1:3" x14ac:dyDescent="0.45">
      <c r="A77" s="1">
        <v>76</v>
      </c>
      <c r="B77" s="1">
        <v>2916</v>
      </c>
      <c r="C77" s="1">
        <f t="shared" si="2"/>
        <v>2418.2177492858195</v>
      </c>
    </row>
    <row r="78" spans="1:3" x14ac:dyDescent="0.45">
      <c r="A78" s="1">
        <v>77</v>
      </c>
      <c r="B78" s="1">
        <v>2569.1999999999998</v>
      </c>
      <c r="C78" s="1">
        <f t="shared" si="2"/>
        <v>2667.1088746429095</v>
      </c>
    </row>
    <row r="79" spans="1:3" x14ac:dyDescent="0.45">
      <c r="A79" s="1">
        <v>78</v>
      </c>
      <c r="B79" s="1">
        <v>2727.6</v>
      </c>
      <c r="C79" s="1">
        <f t="shared" si="2"/>
        <v>2618.1544373214547</v>
      </c>
    </row>
    <row r="80" spans="1:3" x14ac:dyDescent="0.45">
      <c r="A80" s="1">
        <v>79</v>
      </c>
      <c r="B80" s="1">
        <v>2744.4</v>
      </c>
      <c r="C80" s="1">
        <f t="shared" si="2"/>
        <v>2672.8772186607275</v>
      </c>
    </row>
    <row r="81" spans="1:3" x14ac:dyDescent="0.45">
      <c r="A81" s="1">
        <v>80</v>
      </c>
      <c r="B81" s="1">
        <v>2062.7999999999997</v>
      </c>
      <c r="C81" s="1">
        <f t="shared" si="2"/>
        <v>2708.6386093303636</v>
      </c>
    </row>
    <row r="82" spans="1:3" x14ac:dyDescent="0.45">
      <c r="A82" s="1">
        <v>81</v>
      </c>
      <c r="B82" s="1">
        <v>2218.7999999999997</v>
      </c>
      <c r="C82" s="1">
        <f t="shared" si="2"/>
        <v>2385.7193046651819</v>
      </c>
    </row>
    <row r="83" spans="1:3" x14ac:dyDescent="0.45">
      <c r="A83" s="1">
        <v>82</v>
      </c>
      <c r="B83" s="1">
        <v>2696.4</v>
      </c>
      <c r="C83" s="1">
        <f t="shared" si="2"/>
        <v>2302.259652332591</v>
      </c>
    </row>
    <row r="84" spans="1:3" x14ac:dyDescent="0.45">
      <c r="A84" s="1">
        <v>83</v>
      </c>
      <c r="B84" s="1">
        <v>2526</v>
      </c>
      <c r="C84" s="1">
        <f t="shared" si="2"/>
        <v>2499.3298261662958</v>
      </c>
    </row>
    <row r="85" spans="1:3" x14ac:dyDescent="0.45">
      <c r="A85" s="1">
        <v>84</v>
      </c>
      <c r="B85" s="1">
        <v>2016</v>
      </c>
      <c r="C85" s="1">
        <f t="shared" si="2"/>
        <v>2512.6649130831479</v>
      </c>
    </row>
    <row r="86" spans="1:3" x14ac:dyDescent="0.45">
      <c r="A86" s="1">
        <v>85</v>
      </c>
      <c r="B86" s="1">
        <v>2952</v>
      </c>
      <c r="C86" s="1">
        <f t="shared" si="2"/>
        <v>2264.3324565415742</v>
      </c>
    </row>
    <row r="87" spans="1:3" x14ac:dyDescent="0.45">
      <c r="A87" s="1">
        <v>86</v>
      </c>
      <c r="B87" s="1">
        <v>2457.6</v>
      </c>
      <c r="C87" s="1">
        <f t="shared" si="2"/>
        <v>2608.1662282707871</v>
      </c>
    </row>
    <row r="88" spans="1:3" x14ac:dyDescent="0.45">
      <c r="A88" s="1">
        <v>87</v>
      </c>
      <c r="B88" s="1">
        <v>2907.6</v>
      </c>
      <c r="C88" s="1">
        <f t="shared" si="2"/>
        <v>2532.8831141353935</v>
      </c>
    </row>
    <row r="89" spans="1:3" x14ac:dyDescent="0.45">
      <c r="A89" s="1">
        <v>88</v>
      </c>
      <c r="B89" s="1">
        <v>1694.0000000000002</v>
      </c>
      <c r="C89" s="1">
        <f t="shared" si="2"/>
        <v>2720.2415570676967</v>
      </c>
    </row>
    <row r="90" spans="1:3" x14ac:dyDescent="0.45">
      <c r="A90" s="1">
        <v>89</v>
      </c>
      <c r="B90" s="1">
        <v>2560.8000000000002</v>
      </c>
      <c r="C90" s="1">
        <f t="shared" si="2"/>
        <v>2207.1207785338484</v>
      </c>
    </row>
    <row r="91" spans="1:3" x14ac:dyDescent="0.45">
      <c r="A91" s="1">
        <v>90</v>
      </c>
      <c r="B91" s="1">
        <v>1687.4</v>
      </c>
      <c r="C91" s="1">
        <f t="shared" si="2"/>
        <v>2383.9603892669243</v>
      </c>
    </row>
    <row r="92" spans="1:3" x14ac:dyDescent="0.45">
      <c r="A92" s="1">
        <v>91</v>
      </c>
      <c r="B92" s="1">
        <v>1772.1000000000001</v>
      </c>
      <c r="C92" s="1">
        <f t="shared" si="2"/>
        <v>2035.6801946334622</v>
      </c>
    </row>
    <row r="93" spans="1:3" x14ac:dyDescent="0.45">
      <c r="A93" s="1">
        <v>92</v>
      </c>
      <c r="B93" s="1">
        <v>1855</v>
      </c>
      <c r="C93" s="1">
        <f t="shared" si="2"/>
        <v>1903.890097316731</v>
      </c>
    </row>
    <row r="94" spans="1:3" x14ac:dyDescent="0.45">
      <c r="A94" s="1">
        <v>93</v>
      </c>
      <c r="B94" s="1">
        <v>2068</v>
      </c>
      <c r="C94" s="1">
        <f t="shared" si="2"/>
        <v>1879.4450486583655</v>
      </c>
    </row>
    <row r="95" spans="1:3" x14ac:dyDescent="0.45">
      <c r="A95" s="1">
        <v>94</v>
      </c>
      <c r="B95" s="1">
        <v>2169.9</v>
      </c>
      <c r="C95" s="1">
        <f t="shared" si="2"/>
        <v>1973.7225243291828</v>
      </c>
    </row>
    <row r="96" spans="1:3" x14ac:dyDescent="0.45">
      <c r="A96" s="1">
        <v>95</v>
      </c>
      <c r="B96" s="1">
        <v>1863.9</v>
      </c>
      <c r="C96" s="1">
        <f t="shared" si="2"/>
        <v>2071.8112621645914</v>
      </c>
    </row>
    <row r="97" spans="1:3" x14ac:dyDescent="0.45">
      <c r="A97" s="1">
        <v>96</v>
      </c>
      <c r="B97" s="1">
        <v>1507.5</v>
      </c>
      <c r="C97" s="1">
        <f t="shared" si="2"/>
        <v>1967.8556310822958</v>
      </c>
    </row>
    <row r="98" spans="1:3" x14ac:dyDescent="0.45">
      <c r="A98" s="1">
        <v>97</v>
      </c>
      <c r="B98" s="1">
        <v>1621.8</v>
      </c>
      <c r="C98" s="1">
        <f t="shared" si="2"/>
        <v>1737.677815541148</v>
      </c>
    </row>
    <row r="99" spans="1:3" x14ac:dyDescent="0.45">
      <c r="A99" s="1">
        <v>98</v>
      </c>
      <c r="B99" s="1">
        <v>1635.3</v>
      </c>
      <c r="C99" s="1">
        <f t="shared" ref="C99:C106" si="3">C98+alpha_a*(B98-C98)</f>
        <v>1679.7389077705739</v>
      </c>
    </row>
    <row r="100" spans="1:3" x14ac:dyDescent="0.45">
      <c r="A100" s="1">
        <v>99</v>
      </c>
      <c r="B100" s="1">
        <v>1503</v>
      </c>
      <c r="C100" s="1">
        <f t="shared" si="3"/>
        <v>1657.519453885287</v>
      </c>
    </row>
    <row r="101" spans="1:3" x14ac:dyDescent="0.45">
      <c r="A101" s="1">
        <v>100</v>
      </c>
      <c r="B101" s="1">
        <v>1799.1000000000001</v>
      </c>
      <c r="C101" s="1">
        <f t="shared" si="3"/>
        <v>1580.2597269426435</v>
      </c>
    </row>
    <row r="102" spans="1:3" x14ac:dyDescent="0.45">
      <c r="A102" s="1">
        <v>101</v>
      </c>
      <c r="B102" s="1">
        <v>2171.7000000000003</v>
      </c>
      <c r="C102" s="1">
        <f t="shared" si="3"/>
        <v>1689.6798634713218</v>
      </c>
    </row>
    <row r="103" spans="1:3" x14ac:dyDescent="0.45">
      <c r="A103" s="1">
        <v>102</v>
      </c>
      <c r="B103" s="1">
        <v>1475.1000000000001</v>
      </c>
      <c r="C103" s="1">
        <f t="shared" si="3"/>
        <v>1930.689931735661</v>
      </c>
    </row>
    <row r="104" spans="1:3" x14ac:dyDescent="0.45">
      <c r="A104" s="1">
        <v>103</v>
      </c>
      <c r="B104" s="1">
        <v>1984.5</v>
      </c>
      <c r="C104" s="1">
        <f t="shared" si="3"/>
        <v>1702.8949658678307</v>
      </c>
    </row>
    <row r="105" spans="1:3" x14ac:dyDescent="0.45">
      <c r="A105" s="1">
        <v>104</v>
      </c>
      <c r="B105" s="1">
        <v>1476</v>
      </c>
      <c r="C105" s="1">
        <f t="shared" si="3"/>
        <v>1843.6974829339154</v>
      </c>
    </row>
    <row r="106" spans="1:3" x14ac:dyDescent="0.45">
      <c r="C106" s="1">
        <f t="shared" si="3"/>
        <v>1659.8487414669576</v>
      </c>
    </row>
    <row r="107" spans="1:3" x14ac:dyDescent="0.45">
      <c r="C107" s="1"/>
    </row>
    <row r="108" spans="1:3" x14ac:dyDescent="0.45">
      <c r="C108" s="1"/>
    </row>
    <row r="109" spans="1:3" x14ac:dyDescent="0.45">
      <c r="C109" s="1"/>
    </row>
    <row r="110" spans="1:3" x14ac:dyDescent="0.45">
      <c r="C110" s="1"/>
    </row>
    <row r="111" spans="1:3" x14ac:dyDescent="0.45">
      <c r="C111" s="1"/>
    </row>
    <row r="112" spans="1:3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Sheet2</vt:lpstr>
      <vt:lpstr>Product1</vt:lpstr>
      <vt:lpstr>Calc_simple</vt:lpstr>
      <vt:lpstr>Calc_adaptive</vt:lpstr>
      <vt:lpstr>alpha_a</vt:lpstr>
      <vt:lpstr>alpha_s</vt:lpstr>
    </vt:vector>
  </TitlesOfParts>
  <Company>____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</dc:creator>
  <cp:lastModifiedBy>Kerr</cp:lastModifiedBy>
  <dcterms:created xsi:type="dcterms:W3CDTF">2014-10-14T11:16:32Z</dcterms:created>
  <dcterms:modified xsi:type="dcterms:W3CDTF">2014-12-01T12:22:32Z</dcterms:modified>
</cp:coreProperties>
</file>